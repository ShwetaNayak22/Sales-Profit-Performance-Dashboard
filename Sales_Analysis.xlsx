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st course\Data Analystics and Business Intelligence\Task3\"/>
    </mc:Choice>
  </mc:AlternateContent>
  <xr:revisionPtr revIDLastSave="0" documentId="8_{5DA1D11C-BF7F-473E-B4A2-8F08131ADD23}" xr6:coauthVersionLast="47" xr6:coauthVersionMax="47" xr10:uidLastSave="{00000000-0000-0000-0000-000000000000}"/>
  <bookViews>
    <workbookView xWindow="-108" yWindow="-108" windowWidth="23256" windowHeight="12456" activeTab="1" xr2:uid="{119193EE-BEB8-4564-A8EF-63EB262067AB}"/>
  </bookViews>
  <sheets>
    <sheet name="Customers" sheetId="2" r:id="rId1"/>
    <sheet name="Orders" sheetId="3" r:id="rId2"/>
    <sheet name="Monthly Sales Performance" sheetId="4" r:id="rId3"/>
    <sheet name="Region vs Profit Margin" sheetId="5" r:id="rId4"/>
    <sheet name="Category vs Growth%" sheetId="6" r:id="rId5"/>
    <sheet name="Segment vs Revenue" sheetId="7" r:id="rId6"/>
  </sheets>
  <definedNames>
    <definedName name="ExternalData_1" localSheetId="0" hidden="1">Customers!$A$1:$D$501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7" l="1"/>
  <c r="C4" i="7"/>
  <c r="B3" i="7"/>
  <c r="C2" i="7" s="1"/>
  <c r="B4" i="7"/>
  <c r="B2" i="7"/>
  <c r="D2" i="6"/>
  <c r="D3" i="6"/>
  <c r="D4" i="6"/>
  <c r="B2" i="6"/>
  <c r="B3" i="6"/>
  <c r="B4" i="6"/>
  <c r="C3" i="6"/>
  <c r="C4" i="6"/>
  <c r="C2" i="6"/>
  <c r="D3" i="5"/>
  <c r="D4" i="5"/>
  <c r="D5" i="5"/>
  <c r="D6" i="5"/>
  <c r="D2" i="5"/>
  <c r="C3" i="5"/>
  <c r="C4" i="5"/>
  <c r="C5" i="5"/>
  <c r="C6" i="5"/>
  <c r="C2" i="5"/>
  <c r="B3" i="5"/>
  <c r="B4" i="5"/>
  <c r="B5" i="5"/>
  <c r="B6" i="5"/>
  <c r="B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D456" i="4" s="1"/>
  <c r="B457" i="4"/>
  <c r="B458" i="4"/>
  <c r="B459" i="4"/>
  <c r="B460" i="4"/>
  <c r="B461" i="4"/>
  <c r="B462" i="4"/>
  <c r="B463" i="4"/>
  <c r="B464" i="4"/>
  <c r="B465" i="4"/>
  <c r="B466" i="4"/>
  <c r="C467" i="4" s="1"/>
  <c r="D467" i="4" s="1"/>
  <c r="E467" i="4" s="1"/>
  <c r="B467" i="4"/>
  <c r="B468" i="4"/>
  <c r="B469" i="4"/>
  <c r="D469" i="4" s="1"/>
  <c r="E469" i="4" s="1"/>
  <c r="B470" i="4"/>
  <c r="B471" i="4"/>
  <c r="B472" i="4"/>
  <c r="C473" i="4" s="1"/>
  <c r="D473" i="4" s="1"/>
  <c r="E473" i="4" s="1"/>
  <c r="B473" i="4"/>
  <c r="B474" i="4"/>
  <c r="C475" i="4" s="1"/>
  <c r="D475" i="4" s="1"/>
  <c r="E475" i="4" s="1"/>
  <c r="B475" i="4"/>
  <c r="B476" i="4"/>
  <c r="B477" i="4"/>
  <c r="D477" i="4" s="1"/>
  <c r="E477" i="4" s="1"/>
  <c r="B478" i="4"/>
  <c r="B479" i="4"/>
  <c r="B480" i="4"/>
  <c r="C481" i="4" s="1"/>
  <c r="D481" i="4" s="1"/>
  <c r="E481" i="4" s="1"/>
  <c r="B481" i="4"/>
  <c r="B482" i="4"/>
  <c r="C483" i="4" s="1"/>
  <c r="D483" i="4" s="1"/>
  <c r="E483" i="4" s="1"/>
  <c r="B483" i="4"/>
  <c r="B484" i="4"/>
  <c r="B485" i="4"/>
  <c r="B486" i="4"/>
  <c r="B487" i="4"/>
  <c r="B488" i="4"/>
  <c r="C489" i="4" s="1"/>
  <c r="D489" i="4" s="1"/>
  <c r="E489" i="4" s="1"/>
  <c r="B489" i="4"/>
  <c r="B490" i="4"/>
  <c r="C491" i="4" s="1"/>
  <c r="D491" i="4" s="1"/>
  <c r="E491" i="4" s="1"/>
  <c r="B491" i="4"/>
  <c r="C492" i="4" s="1"/>
  <c r="D492" i="4" s="1"/>
  <c r="E492" i="4" s="1"/>
  <c r="B492" i="4"/>
  <c r="B493" i="4"/>
  <c r="D493" i="4" s="1"/>
  <c r="E493" i="4" s="1"/>
  <c r="B494" i="4"/>
  <c r="C495" i="4" s="1"/>
  <c r="D495" i="4" s="1"/>
  <c r="E495" i="4" s="1"/>
  <c r="B495" i="4"/>
  <c r="B496" i="4"/>
  <c r="C497" i="4" s="1"/>
  <c r="D497" i="4" s="1"/>
  <c r="E497" i="4" s="1"/>
  <c r="B497" i="4"/>
  <c r="C498" i="4" s="1"/>
  <c r="D498" i="4" s="1"/>
  <c r="E498" i="4" s="1"/>
  <c r="B498" i="4"/>
  <c r="C499" i="4" s="1"/>
  <c r="B499" i="4"/>
  <c r="C500" i="4" s="1"/>
  <c r="B500" i="4"/>
  <c r="C501" i="4" s="1"/>
  <c r="B501" i="4"/>
  <c r="D501" i="4" s="1"/>
  <c r="C4" i="4"/>
  <c r="C5" i="4"/>
  <c r="C6" i="4"/>
  <c r="D6" i="4" s="1"/>
  <c r="E6" i="4" s="1"/>
  <c r="C7" i="4"/>
  <c r="D7" i="4" s="1"/>
  <c r="E7" i="4" s="1"/>
  <c r="C8" i="4"/>
  <c r="D8" i="4" s="1"/>
  <c r="C9" i="4"/>
  <c r="D9" i="4" s="1"/>
  <c r="E9" i="4" s="1"/>
  <c r="C10" i="4"/>
  <c r="D10" i="4" s="1"/>
  <c r="E10" i="4" s="1"/>
  <c r="C11" i="4"/>
  <c r="D11" i="4" s="1"/>
  <c r="E11" i="4" s="1"/>
  <c r="C12" i="4"/>
  <c r="D12" i="4" s="1"/>
  <c r="C13" i="4"/>
  <c r="C14" i="4"/>
  <c r="D14" i="4" s="1"/>
  <c r="E14" i="4" s="1"/>
  <c r="C15" i="4"/>
  <c r="C16" i="4"/>
  <c r="D16" i="4" s="1"/>
  <c r="C17" i="4"/>
  <c r="D17" i="4" s="1"/>
  <c r="E17" i="4" s="1"/>
  <c r="C18" i="4"/>
  <c r="D18" i="4" s="1"/>
  <c r="E18" i="4" s="1"/>
  <c r="C19" i="4"/>
  <c r="C20" i="4"/>
  <c r="C21" i="4"/>
  <c r="C22" i="4"/>
  <c r="C23" i="4"/>
  <c r="C24" i="4"/>
  <c r="E24" i="4" s="1"/>
  <c r="C25" i="4"/>
  <c r="C26" i="4"/>
  <c r="D26" i="4" s="1"/>
  <c r="E26" i="4" s="1"/>
  <c r="C27" i="4"/>
  <c r="D27" i="4" s="1"/>
  <c r="E27" i="4" s="1"/>
  <c r="C28" i="4"/>
  <c r="C29" i="4"/>
  <c r="C30" i="4"/>
  <c r="D30" i="4" s="1"/>
  <c r="E30" i="4" s="1"/>
  <c r="C31" i="4"/>
  <c r="C32" i="4"/>
  <c r="C33" i="4"/>
  <c r="C34" i="4"/>
  <c r="D34" i="4" s="1"/>
  <c r="E34" i="4" s="1"/>
  <c r="C35" i="4"/>
  <c r="D35" i="4" s="1"/>
  <c r="E35" i="4" s="1"/>
  <c r="C36" i="4"/>
  <c r="D36" i="4" s="1"/>
  <c r="E36" i="4" s="1"/>
  <c r="C37" i="4"/>
  <c r="C38" i="4"/>
  <c r="D38" i="4" s="1"/>
  <c r="E38" i="4" s="1"/>
  <c r="C39" i="4"/>
  <c r="D39" i="4" s="1"/>
  <c r="E39" i="4" s="1"/>
  <c r="C40" i="4"/>
  <c r="D40" i="4" s="1"/>
  <c r="E40" i="4" s="1"/>
  <c r="C41" i="4"/>
  <c r="D41" i="4" s="1"/>
  <c r="E41" i="4" s="1"/>
  <c r="C42" i="4"/>
  <c r="D42" i="4" s="1"/>
  <c r="E42" i="4" s="1"/>
  <c r="C43" i="4"/>
  <c r="C44" i="4"/>
  <c r="C45" i="4"/>
  <c r="C46" i="4"/>
  <c r="D46" i="4" s="1"/>
  <c r="E46" i="4" s="1"/>
  <c r="C47" i="4"/>
  <c r="C48" i="4"/>
  <c r="C49" i="4"/>
  <c r="C50" i="4"/>
  <c r="D50" i="4" s="1"/>
  <c r="E50" i="4" s="1"/>
  <c r="C51" i="4"/>
  <c r="D51" i="4" s="1"/>
  <c r="E51" i="4" s="1"/>
  <c r="C52" i="4"/>
  <c r="C53" i="4"/>
  <c r="C54" i="4"/>
  <c r="D54" i="4" s="1"/>
  <c r="E54" i="4" s="1"/>
  <c r="C55" i="4"/>
  <c r="C56" i="4"/>
  <c r="C57" i="4"/>
  <c r="D57" i="4" s="1"/>
  <c r="E57" i="4" s="1"/>
  <c r="C58" i="4"/>
  <c r="D58" i="4" s="1"/>
  <c r="E58" i="4" s="1"/>
  <c r="C59" i="4"/>
  <c r="C60" i="4"/>
  <c r="D60" i="4" s="1"/>
  <c r="C61" i="4"/>
  <c r="C62" i="4"/>
  <c r="D62" i="4" s="1"/>
  <c r="E62" i="4" s="1"/>
  <c r="C63" i="4"/>
  <c r="D63" i="4" s="1"/>
  <c r="E63" i="4" s="1"/>
  <c r="C64" i="4"/>
  <c r="C65" i="4"/>
  <c r="D65" i="4" s="1"/>
  <c r="E65" i="4" s="1"/>
  <c r="C66" i="4"/>
  <c r="D66" i="4" s="1"/>
  <c r="E66" i="4" s="1"/>
  <c r="C67" i="4"/>
  <c r="D67" i="4" s="1"/>
  <c r="E67" i="4" s="1"/>
  <c r="C68" i="4"/>
  <c r="E68" i="4" s="1"/>
  <c r="C69" i="4"/>
  <c r="C70" i="4"/>
  <c r="C71" i="4"/>
  <c r="C72" i="4"/>
  <c r="D72" i="4" s="1"/>
  <c r="C73" i="4"/>
  <c r="C74" i="4"/>
  <c r="D74" i="4" s="1"/>
  <c r="E74" i="4" s="1"/>
  <c r="C75" i="4"/>
  <c r="D75" i="4" s="1"/>
  <c r="E75" i="4" s="1"/>
  <c r="C76" i="4"/>
  <c r="D76" i="4" s="1"/>
  <c r="C77" i="4"/>
  <c r="C78" i="4"/>
  <c r="D78" i="4" s="1"/>
  <c r="E78" i="4" s="1"/>
  <c r="C79" i="4"/>
  <c r="C80" i="4"/>
  <c r="D80" i="4" s="1"/>
  <c r="C81" i="4"/>
  <c r="D81" i="4" s="1"/>
  <c r="E81" i="4" s="1"/>
  <c r="C82" i="4"/>
  <c r="D82" i="4" s="1"/>
  <c r="E82" i="4" s="1"/>
  <c r="C83" i="4"/>
  <c r="C84" i="4"/>
  <c r="C85" i="4"/>
  <c r="C86" i="4"/>
  <c r="C87" i="4"/>
  <c r="C88" i="4"/>
  <c r="E88" i="4" s="1"/>
  <c r="C89" i="4"/>
  <c r="C90" i="4"/>
  <c r="D90" i="4" s="1"/>
  <c r="E90" i="4" s="1"/>
  <c r="C91" i="4"/>
  <c r="D91" i="4" s="1"/>
  <c r="E91" i="4" s="1"/>
  <c r="C92" i="4"/>
  <c r="C93" i="4"/>
  <c r="C94" i="4"/>
  <c r="D94" i="4" s="1"/>
  <c r="E94" i="4" s="1"/>
  <c r="C95" i="4"/>
  <c r="C96" i="4"/>
  <c r="C97" i="4"/>
  <c r="C98" i="4"/>
  <c r="D98" i="4" s="1"/>
  <c r="E98" i="4" s="1"/>
  <c r="C99" i="4"/>
  <c r="D99" i="4" s="1"/>
  <c r="E99" i="4" s="1"/>
  <c r="C100" i="4"/>
  <c r="D100" i="4" s="1"/>
  <c r="E100" i="4" s="1"/>
  <c r="C101" i="4"/>
  <c r="C102" i="4"/>
  <c r="D102" i="4" s="1"/>
  <c r="E102" i="4" s="1"/>
  <c r="C103" i="4"/>
  <c r="D103" i="4" s="1"/>
  <c r="E103" i="4" s="1"/>
  <c r="C104" i="4"/>
  <c r="D104" i="4" s="1"/>
  <c r="E104" i="4" s="1"/>
  <c r="C105" i="4"/>
  <c r="D105" i="4" s="1"/>
  <c r="E105" i="4" s="1"/>
  <c r="C106" i="4"/>
  <c r="D106" i="4" s="1"/>
  <c r="E106" i="4" s="1"/>
  <c r="C107" i="4"/>
  <c r="C108" i="4"/>
  <c r="C109" i="4"/>
  <c r="C110" i="4"/>
  <c r="D110" i="4" s="1"/>
  <c r="E110" i="4" s="1"/>
  <c r="C111" i="4"/>
  <c r="C112" i="4"/>
  <c r="C113" i="4"/>
  <c r="C114" i="4"/>
  <c r="D114" i="4" s="1"/>
  <c r="E114" i="4" s="1"/>
  <c r="C115" i="4"/>
  <c r="D115" i="4" s="1"/>
  <c r="E115" i="4" s="1"/>
  <c r="C116" i="4"/>
  <c r="C117" i="4"/>
  <c r="C118" i="4"/>
  <c r="D118" i="4" s="1"/>
  <c r="E118" i="4" s="1"/>
  <c r="C119" i="4"/>
  <c r="C120" i="4"/>
  <c r="C121" i="4"/>
  <c r="D121" i="4" s="1"/>
  <c r="E121" i="4" s="1"/>
  <c r="C122" i="4"/>
  <c r="D122" i="4" s="1"/>
  <c r="E122" i="4" s="1"/>
  <c r="C123" i="4"/>
  <c r="C124" i="4"/>
  <c r="D124" i="4" s="1"/>
  <c r="C125" i="4"/>
  <c r="C126" i="4"/>
  <c r="D126" i="4" s="1"/>
  <c r="E126" i="4" s="1"/>
  <c r="C127" i="4"/>
  <c r="D127" i="4" s="1"/>
  <c r="E127" i="4" s="1"/>
  <c r="C128" i="4"/>
  <c r="C129" i="4"/>
  <c r="D129" i="4" s="1"/>
  <c r="E129" i="4" s="1"/>
  <c r="C130" i="4"/>
  <c r="D130" i="4" s="1"/>
  <c r="E130" i="4" s="1"/>
  <c r="C131" i="4"/>
  <c r="D131" i="4" s="1"/>
  <c r="E131" i="4" s="1"/>
  <c r="C132" i="4"/>
  <c r="E132" i="4" s="1"/>
  <c r="C133" i="4"/>
  <c r="C134" i="4"/>
  <c r="C135" i="4"/>
  <c r="C136" i="4"/>
  <c r="D136" i="4" s="1"/>
  <c r="C137" i="4"/>
  <c r="C138" i="4"/>
  <c r="D138" i="4" s="1"/>
  <c r="E138" i="4" s="1"/>
  <c r="C139" i="4"/>
  <c r="D139" i="4" s="1"/>
  <c r="E139" i="4" s="1"/>
  <c r="C140" i="4"/>
  <c r="D140" i="4" s="1"/>
  <c r="C141" i="4"/>
  <c r="C142" i="4"/>
  <c r="D142" i="4" s="1"/>
  <c r="E142" i="4" s="1"/>
  <c r="C143" i="4"/>
  <c r="C144" i="4"/>
  <c r="D144" i="4" s="1"/>
  <c r="C145" i="4"/>
  <c r="D145" i="4" s="1"/>
  <c r="E145" i="4" s="1"/>
  <c r="C146" i="4"/>
  <c r="D146" i="4" s="1"/>
  <c r="E146" i="4" s="1"/>
  <c r="C147" i="4"/>
  <c r="C148" i="4"/>
  <c r="C149" i="4"/>
  <c r="C150" i="4"/>
  <c r="C151" i="4"/>
  <c r="C152" i="4"/>
  <c r="E152" i="4" s="1"/>
  <c r="C153" i="4"/>
  <c r="C154" i="4"/>
  <c r="D154" i="4" s="1"/>
  <c r="E154" i="4" s="1"/>
  <c r="C155" i="4"/>
  <c r="D155" i="4" s="1"/>
  <c r="E155" i="4" s="1"/>
  <c r="C156" i="4"/>
  <c r="C157" i="4"/>
  <c r="C158" i="4"/>
  <c r="D158" i="4" s="1"/>
  <c r="E158" i="4" s="1"/>
  <c r="C159" i="4"/>
  <c r="C160" i="4"/>
  <c r="C161" i="4"/>
  <c r="C162" i="4"/>
  <c r="D162" i="4" s="1"/>
  <c r="E162" i="4" s="1"/>
  <c r="C163" i="4"/>
  <c r="D163" i="4" s="1"/>
  <c r="E163" i="4" s="1"/>
  <c r="C164" i="4"/>
  <c r="D164" i="4" s="1"/>
  <c r="E164" i="4" s="1"/>
  <c r="C165" i="4"/>
  <c r="C166" i="4"/>
  <c r="D166" i="4" s="1"/>
  <c r="E166" i="4" s="1"/>
  <c r="C167" i="4"/>
  <c r="D167" i="4" s="1"/>
  <c r="E167" i="4" s="1"/>
  <c r="C168" i="4"/>
  <c r="D168" i="4" s="1"/>
  <c r="E168" i="4" s="1"/>
  <c r="C169" i="4"/>
  <c r="D169" i="4" s="1"/>
  <c r="E169" i="4" s="1"/>
  <c r="C170" i="4"/>
  <c r="D170" i="4" s="1"/>
  <c r="E170" i="4" s="1"/>
  <c r="C171" i="4"/>
  <c r="C172" i="4"/>
  <c r="C173" i="4"/>
  <c r="C174" i="4"/>
  <c r="D174" i="4" s="1"/>
  <c r="E174" i="4" s="1"/>
  <c r="C175" i="4"/>
  <c r="C176" i="4"/>
  <c r="C177" i="4"/>
  <c r="C178" i="4"/>
  <c r="D178" i="4" s="1"/>
  <c r="E178" i="4" s="1"/>
  <c r="C179" i="4"/>
  <c r="D179" i="4" s="1"/>
  <c r="E179" i="4" s="1"/>
  <c r="C180" i="4"/>
  <c r="C181" i="4"/>
  <c r="C182" i="4"/>
  <c r="D182" i="4" s="1"/>
  <c r="E182" i="4" s="1"/>
  <c r="C183" i="4"/>
  <c r="C184" i="4"/>
  <c r="C185" i="4"/>
  <c r="D185" i="4" s="1"/>
  <c r="E185" i="4" s="1"/>
  <c r="C186" i="4"/>
  <c r="D186" i="4" s="1"/>
  <c r="E186" i="4" s="1"/>
  <c r="C187" i="4"/>
  <c r="C188" i="4"/>
  <c r="D188" i="4" s="1"/>
  <c r="C189" i="4"/>
  <c r="C190" i="4"/>
  <c r="D190" i="4" s="1"/>
  <c r="E190" i="4" s="1"/>
  <c r="C191" i="4"/>
  <c r="D191" i="4" s="1"/>
  <c r="E191" i="4" s="1"/>
  <c r="C192" i="4"/>
  <c r="C193" i="4"/>
  <c r="D193" i="4" s="1"/>
  <c r="E193" i="4" s="1"/>
  <c r="C194" i="4"/>
  <c r="D194" i="4" s="1"/>
  <c r="E194" i="4" s="1"/>
  <c r="C195" i="4"/>
  <c r="D195" i="4" s="1"/>
  <c r="E195" i="4" s="1"/>
  <c r="C196" i="4"/>
  <c r="E196" i="4" s="1"/>
  <c r="C197" i="4"/>
  <c r="C198" i="4"/>
  <c r="C199" i="4"/>
  <c r="C200" i="4"/>
  <c r="D200" i="4" s="1"/>
  <c r="C201" i="4"/>
  <c r="C202" i="4"/>
  <c r="D202" i="4" s="1"/>
  <c r="E202" i="4" s="1"/>
  <c r="C203" i="4"/>
  <c r="D203" i="4" s="1"/>
  <c r="E203" i="4" s="1"/>
  <c r="C204" i="4"/>
  <c r="D204" i="4" s="1"/>
  <c r="C205" i="4"/>
  <c r="C206" i="4"/>
  <c r="D206" i="4" s="1"/>
  <c r="E206" i="4" s="1"/>
  <c r="C207" i="4"/>
  <c r="C208" i="4"/>
  <c r="D208" i="4" s="1"/>
  <c r="C209" i="4"/>
  <c r="D209" i="4" s="1"/>
  <c r="E209" i="4" s="1"/>
  <c r="C210" i="4"/>
  <c r="D210" i="4" s="1"/>
  <c r="E210" i="4" s="1"/>
  <c r="C211" i="4"/>
  <c r="C212" i="4"/>
  <c r="C213" i="4"/>
  <c r="C214" i="4"/>
  <c r="C215" i="4"/>
  <c r="C216" i="4"/>
  <c r="E216" i="4" s="1"/>
  <c r="C217" i="4"/>
  <c r="C218" i="4"/>
  <c r="D218" i="4" s="1"/>
  <c r="E218" i="4" s="1"/>
  <c r="C219" i="4"/>
  <c r="D219" i="4" s="1"/>
  <c r="E219" i="4" s="1"/>
  <c r="C220" i="4"/>
  <c r="C221" i="4"/>
  <c r="C222" i="4"/>
  <c r="D222" i="4" s="1"/>
  <c r="E222" i="4" s="1"/>
  <c r="C223" i="4"/>
  <c r="C224" i="4"/>
  <c r="C225" i="4"/>
  <c r="C226" i="4"/>
  <c r="D226" i="4" s="1"/>
  <c r="E226" i="4" s="1"/>
  <c r="C227" i="4"/>
  <c r="D227" i="4" s="1"/>
  <c r="E227" i="4" s="1"/>
  <c r="C228" i="4"/>
  <c r="D228" i="4" s="1"/>
  <c r="E228" i="4" s="1"/>
  <c r="C229" i="4"/>
  <c r="C230" i="4"/>
  <c r="D230" i="4" s="1"/>
  <c r="E230" i="4" s="1"/>
  <c r="C231" i="4"/>
  <c r="D231" i="4" s="1"/>
  <c r="E231" i="4" s="1"/>
  <c r="C232" i="4"/>
  <c r="D232" i="4" s="1"/>
  <c r="E232" i="4" s="1"/>
  <c r="C233" i="4"/>
  <c r="D233" i="4" s="1"/>
  <c r="E233" i="4" s="1"/>
  <c r="C234" i="4"/>
  <c r="D234" i="4" s="1"/>
  <c r="E234" i="4" s="1"/>
  <c r="C235" i="4"/>
  <c r="C236" i="4"/>
  <c r="C237" i="4"/>
  <c r="C238" i="4"/>
  <c r="D238" i="4" s="1"/>
  <c r="E238" i="4" s="1"/>
  <c r="C239" i="4"/>
  <c r="C240" i="4"/>
  <c r="C241" i="4"/>
  <c r="C242" i="4"/>
  <c r="D242" i="4" s="1"/>
  <c r="E242" i="4" s="1"/>
  <c r="C243" i="4"/>
  <c r="D243" i="4" s="1"/>
  <c r="E243" i="4" s="1"/>
  <c r="C244" i="4"/>
  <c r="C245" i="4"/>
  <c r="C246" i="4"/>
  <c r="D246" i="4" s="1"/>
  <c r="E246" i="4" s="1"/>
  <c r="C247" i="4"/>
  <c r="C248" i="4"/>
  <c r="C249" i="4"/>
  <c r="D249" i="4" s="1"/>
  <c r="E249" i="4" s="1"/>
  <c r="C250" i="4"/>
  <c r="D250" i="4" s="1"/>
  <c r="E250" i="4" s="1"/>
  <c r="C251" i="4"/>
  <c r="C252" i="4"/>
  <c r="D252" i="4" s="1"/>
  <c r="C253" i="4"/>
  <c r="C254" i="4"/>
  <c r="D254" i="4" s="1"/>
  <c r="E254" i="4" s="1"/>
  <c r="C255" i="4"/>
  <c r="D255" i="4" s="1"/>
  <c r="E255" i="4" s="1"/>
  <c r="C256" i="4"/>
  <c r="C257" i="4"/>
  <c r="D257" i="4" s="1"/>
  <c r="E257" i="4" s="1"/>
  <c r="C258" i="4"/>
  <c r="D258" i="4" s="1"/>
  <c r="E258" i="4" s="1"/>
  <c r="C259" i="4"/>
  <c r="D259" i="4" s="1"/>
  <c r="E259" i="4" s="1"/>
  <c r="C260" i="4"/>
  <c r="E260" i="4" s="1"/>
  <c r="C261" i="4"/>
  <c r="C262" i="4"/>
  <c r="C263" i="4"/>
  <c r="C264" i="4"/>
  <c r="D264" i="4" s="1"/>
  <c r="C265" i="4"/>
  <c r="C266" i="4"/>
  <c r="D266" i="4" s="1"/>
  <c r="E266" i="4" s="1"/>
  <c r="C267" i="4"/>
  <c r="D267" i="4" s="1"/>
  <c r="E267" i="4" s="1"/>
  <c r="C268" i="4"/>
  <c r="D268" i="4" s="1"/>
  <c r="C269" i="4"/>
  <c r="C270" i="4"/>
  <c r="D270" i="4" s="1"/>
  <c r="E270" i="4" s="1"/>
  <c r="C271" i="4"/>
  <c r="C272" i="4"/>
  <c r="D272" i="4" s="1"/>
  <c r="C273" i="4"/>
  <c r="D273" i="4" s="1"/>
  <c r="E273" i="4" s="1"/>
  <c r="C274" i="4"/>
  <c r="D274" i="4" s="1"/>
  <c r="E274" i="4" s="1"/>
  <c r="C275" i="4"/>
  <c r="C276" i="4"/>
  <c r="C277" i="4"/>
  <c r="C278" i="4"/>
  <c r="C279" i="4"/>
  <c r="C280" i="4"/>
  <c r="E280" i="4" s="1"/>
  <c r="C281" i="4"/>
  <c r="C282" i="4"/>
  <c r="D282" i="4" s="1"/>
  <c r="E282" i="4" s="1"/>
  <c r="C283" i="4"/>
  <c r="D283" i="4" s="1"/>
  <c r="E283" i="4" s="1"/>
  <c r="C284" i="4"/>
  <c r="C285" i="4"/>
  <c r="C286" i="4"/>
  <c r="D286" i="4" s="1"/>
  <c r="E286" i="4" s="1"/>
  <c r="C287" i="4"/>
  <c r="C288" i="4"/>
  <c r="C289" i="4"/>
  <c r="C290" i="4"/>
  <c r="D290" i="4" s="1"/>
  <c r="E290" i="4" s="1"/>
  <c r="C291" i="4"/>
  <c r="D291" i="4" s="1"/>
  <c r="E291" i="4" s="1"/>
  <c r="C292" i="4"/>
  <c r="D292" i="4" s="1"/>
  <c r="E292" i="4" s="1"/>
  <c r="C293" i="4"/>
  <c r="C294" i="4"/>
  <c r="D294" i="4" s="1"/>
  <c r="E294" i="4" s="1"/>
  <c r="C295" i="4"/>
  <c r="D295" i="4" s="1"/>
  <c r="E295" i="4" s="1"/>
  <c r="C296" i="4"/>
  <c r="D296" i="4" s="1"/>
  <c r="E296" i="4" s="1"/>
  <c r="C297" i="4"/>
  <c r="D297" i="4" s="1"/>
  <c r="E297" i="4" s="1"/>
  <c r="C298" i="4"/>
  <c r="D298" i="4" s="1"/>
  <c r="E298" i="4" s="1"/>
  <c r="C299" i="4"/>
  <c r="C300" i="4"/>
  <c r="C301" i="4"/>
  <c r="C302" i="4"/>
  <c r="D302" i="4" s="1"/>
  <c r="E302" i="4" s="1"/>
  <c r="C303" i="4"/>
  <c r="C304" i="4"/>
  <c r="C305" i="4"/>
  <c r="C306" i="4"/>
  <c r="D306" i="4" s="1"/>
  <c r="E306" i="4" s="1"/>
  <c r="C307" i="4"/>
  <c r="D307" i="4" s="1"/>
  <c r="E307" i="4" s="1"/>
  <c r="C308" i="4"/>
  <c r="C309" i="4"/>
  <c r="C310" i="4"/>
  <c r="D310" i="4" s="1"/>
  <c r="E310" i="4" s="1"/>
  <c r="C311" i="4"/>
  <c r="C312" i="4"/>
  <c r="C313" i="4"/>
  <c r="D313" i="4" s="1"/>
  <c r="E313" i="4" s="1"/>
  <c r="C314" i="4"/>
  <c r="D314" i="4" s="1"/>
  <c r="E314" i="4" s="1"/>
  <c r="C315" i="4"/>
  <c r="C316" i="4"/>
  <c r="D316" i="4" s="1"/>
  <c r="C317" i="4"/>
  <c r="C318" i="4"/>
  <c r="D318" i="4" s="1"/>
  <c r="E318" i="4" s="1"/>
  <c r="C319" i="4"/>
  <c r="D319" i="4" s="1"/>
  <c r="E319" i="4" s="1"/>
  <c r="C320" i="4"/>
  <c r="C321" i="4"/>
  <c r="D321" i="4" s="1"/>
  <c r="E321" i="4" s="1"/>
  <c r="C322" i="4"/>
  <c r="D322" i="4" s="1"/>
  <c r="E322" i="4" s="1"/>
  <c r="C323" i="4"/>
  <c r="D323" i="4" s="1"/>
  <c r="E323" i="4" s="1"/>
  <c r="C324" i="4"/>
  <c r="E324" i="4" s="1"/>
  <c r="C325" i="4"/>
  <c r="C326" i="4"/>
  <c r="C327" i="4"/>
  <c r="C328" i="4"/>
  <c r="D328" i="4" s="1"/>
  <c r="C329" i="4"/>
  <c r="C330" i="4"/>
  <c r="D330" i="4" s="1"/>
  <c r="E330" i="4" s="1"/>
  <c r="C331" i="4"/>
  <c r="D331" i="4" s="1"/>
  <c r="E331" i="4" s="1"/>
  <c r="C332" i="4"/>
  <c r="D332" i="4" s="1"/>
  <c r="C333" i="4"/>
  <c r="C334" i="4"/>
  <c r="D334" i="4" s="1"/>
  <c r="E334" i="4" s="1"/>
  <c r="C335" i="4"/>
  <c r="C336" i="4"/>
  <c r="D336" i="4" s="1"/>
  <c r="C337" i="4"/>
  <c r="D337" i="4" s="1"/>
  <c r="E337" i="4" s="1"/>
  <c r="C338" i="4"/>
  <c r="D338" i="4" s="1"/>
  <c r="E338" i="4" s="1"/>
  <c r="C339" i="4"/>
  <c r="C340" i="4"/>
  <c r="C341" i="4"/>
  <c r="C342" i="4"/>
  <c r="C343" i="4"/>
  <c r="C344" i="4"/>
  <c r="E344" i="4" s="1"/>
  <c r="C345" i="4"/>
  <c r="C346" i="4"/>
  <c r="D346" i="4" s="1"/>
  <c r="E346" i="4" s="1"/>
  <c r="C347" i="4"/>
  <c r="D347" i="4" s="1"/>
  <c r="E347" i="4" s="1"/>
  <c r="C348" i="4"/>
  <c r="C349" i="4"/>
  <c r="C350" i="4"/>
  <c r="D350" i="4" s="1"/>
  <c r="E350" i="4" s="1"/>
  <c r="C351" i="4"/>
  <c r="C352" i="4"/>
  <c r="C353" i="4"/>
  <c r="C354" i="4"/>
  <c r="D354" i="4" s="1"/>
  <c r="E354" i="4" s="1"/>
  <c r="C355" i="4"/>
  <c r="D355" i="4" s="1"/>
  <c r="E355" i="4" s="1"/>
  <c r="C356" i="4"/>
  <c r="D356" i="4" s="1"/>
  <c r="E356" i="4" s="1"/>
  <c r="C357" i="4"/>
  <c r="C358" i="4"/>
  <c r="D358" i="4" s="1"/>
  <c r="E358" i="4" s="1"/>
  <c r="C359" i="4"/>
  <c r="D359" i="4" s="1"/>
  <c r="E359" i="4" s="1"/>
  <c r="C360" i="4"/>
  <c r="D360" i="4" s="1"/>
  <c r="E360" i="4" s="1"/>
  <c r="C361" i="4"/>
  <c r="D361" i="4" s="1"/>
  <c r="E361" i="4" s="1"/>
  <c r="C362" i="4"/>
  <c r="D362" i="4" s="1"/>
  <c r="E362" i="4" s="1"/>
  <c r="C363" i="4"/>
  <c r="C364" i="4"/>
  <c r="C365" i="4"/>
  <c r="C366" i="4"/>
  <c r="D366" i="4" s="1"/>
  <c r="E366" i="4" s="1"/>
  <c r="C367" i="4"/>
  <c r="C368" i="4"/>
  <c r="C369" i="4"/>
  <c r="C370" i="4"/>
  <c r="D370" i="4" s="1"/>
  <c r="E370" i="4" s="1"/>
  <c r="C371" i="4"/>
  <c r="D371" i="4" s="1"/>
  <c r="E371" i="4" s="1"/>
  <c r="C372" i="4"/>
  <c r="C373" i="4"/>
  <c r="C374" i="4"/>
  <c r="D374" i="4" s="1"/>
  <c r="E374" i="4" s="1"/>
  <c r="C375" i="4"/>
  <c r="C376" i="4"/>
  <c r="C377" i="4"/>
  <c r="D377" i="4" s="1"/>
  <c r="E377" i="4" s="1"/>
  <c r="C378" i="4"/>
  <c r="D378" i="4" s="1"/>
  <c r="E378" i="4" s="1"/>
  <c r="C379" i="4"/>
  <c r="C380" i="4"/>
  <c r="D380" i="4" s="1"/>
  <c r="C381" i="4"/>
  <c r="C382" i="4"/>
  <c r="D382" i="4" s="1"/>
  <c r="E382" i="4" s="1"/>
  <c r="C383" i="4"/>
  <c r="D383" i="4" s="1"/>
  <c r="E383" i="4" s="1"/>
  <c r="C384" i="4"/>
  <c r="C385" i="4"/>
  <c r="D385" i="4" s="1"/>
  <c r="E385" i="4" s="1"/>
  <c r="C386" i="4"/>
  <c r="D386" i="4" s="1"/>
  <c r="E386" i="4" s="1"/>
  <c r="C387" i="4"/>
  <c r="D387" i="4" s="1"/>
  <c r="E387" i="4" s="1"/>
  <c r="C388" i="4"/>
  <c r="E388" i="4" s="1"/>
  <c r="C389" i="4"/>
  <c r="C390" i="4"/>
  <c r="C391" i="4"/>
  <c r="C392" i="4"/>
  <c r="D392" i="4" s="1"/>
  <c r="C393" i="4"/>
  <c r="C394" i="4"/>
  <c r="D394" i="4" s="1"/>
  <c r="E394" i="4" s="1"/>
  <c r="C395" i="4"/>
  <c r="D395" i="4" s="1"/>
  <c r="E395" i="4" s="1"/>
  <c r="C396" i="4"/>
  <c r="D396" i="4" s="1"/>
  <c r="C397" i="4"/>
  <c r="C398" i="4"/>
  <c r="D398" i="4" s="1"/>
  <c r="E398" i="4" s="1"/>
  <c r="C399" i="4"/>
  <c r="C400" i="4"/>
  <c r="D400" i="4" s="1"/>
  <c r="C401" i="4"/>
  <c r="D401" i="4" s="1"/>
  <c r="E401" i="4" s="1"/>
  <c r="C402" i="4"/>
  <c r="D402" i="4" s="1"/>
  <c r="E402" i="4" s="1"/>
  <c r="C403" i="4"/>
  <c r="C404" i="4"/>
  <c r="C405" i="4"/>
  <c r="C406" i="4"/>
  <c r="C407" i="4"/>
  <c r="C408" i="4"/>
  <c r="E408" i="4" s="1"/>
  <c r="C409" i="4"/>
  <c r="C410" i="4"/>
  <c r="D410" i="4" s="1"/>
  <c r="E410" i="4" s="1"/>
  <c r="C411" i="4"/>
  <c r="D411" i="4" s="1"/>
  <c r="E411" i="4" s="1"/>
  <c r="C412" i="4"/>
  <c r="C413" i="4"/>
  <c r="C414" i="4"/>
  <c r="D414" i="4" s="1"/>
  <c r="E414" i="4" s="1"/>
  <c r="C415" i="4"/>
  <c r="C416" i="4"/>
  <c r="C417" i="4"/>
  <c r="C418" i="4"/>
  <c r="D418" i="4" s="1"/>
  <c r="E418" i="4" s="1"/>
  <c r="C419" i="4"/>
  <c r="D419" i="4" s="1"/>
  <c r="E419" i="4" s="1"/>
  <c r="C420" i="4"/>
  <c r="D420" i="4" s="1"/>
  <c r="E420" i="4" s="1"/>
  <c r="C421" i="4"/>
  <c r="C422" i="4"/>
  <c r="D422" i="4" s="1"/>
  <c r="E422" i="4" s="1"/>
  <c r="C423" i="4"/>
  <c r="D423" i="4" s="1"/>
  <c r="E423" i="4" s="1"/>
  <c r="C424" i="4"/>
  <c r="D424" i="4" s="1"/>
  <c r="E424" i="4" s="1"/>
  <c r="C425" i="4"/>
  <c r="D425" i="4" s="1"/>
  <c r="E425" i="4" s="1"/>
  <c r="C426" i="4"/>
  <c r="D426" i="4" s="1"/>
  <c r="E426" i="4" s="1"/>
  <c r="C427" i="4"/>
  <c r="C428" i="4"/>
  <c r="C429" i="4"/>
  <c r="C430" i="4"/>
  <c r="D430" i="4" s="1"/>
  <c r="E430" i="4" s="1"/>
  <c r="C431" i="4"/>
  <c r="C432" i="4"/>
  <c r="C433" i="4"/>
  <c r="C434" i="4"/>
  <c r="D434" i="4" s="1"/>
  <c r="E434" i="4" s="1"/>
  <c r="C435" i="4"/>
  <c r="D435" i="4" s="1"/>
  <c r="E435" i="4" s="1"/>
  <c r="C436" i="4"/>
  <c r="C437" i="4"/>
  <c r="C438" i="4"/>
  <c r="D438" i="4" s="1"/>
  <c r="E438" i="4" s="1"/>
  <c r="C439" i="4"/>
  <c r="C440" i="4"/>
  <c r="C441" i="4"/>
  <c r="D441" i="4" s="1"/>
  <c r="E441" i="4" s="1"/>
  <c r="C442" i="4"/>
  <c r="C443" i="4"/>
  <c r="C444" i="4"/>
  <c r="D444" i="4" s="1"/>
  <c r="C445" i="4"/>
  <c r="C446" i="4"/>
  <c r="D446" i="4" s="1"/>
  <c r="E446" i="4" s="1"/>
  <c r="C447" i="4"/>
  <c r="D447" i="4" s="1"/>
  <c r="E447" i="4" s="1"/>
  <c r="C448" i="4"/>
  <c r="C449" i="4"/>
  <c r="D449" i="4" s="1"/>
  <c r="E449" i="4" s="1"/>
  <c r="C450" i="4"/>
  <c r="C451" i="4"/>
  <c r="D451" i="4" s="1"/>
  <c r="E451" i="4" s="1"/>
  <c r="C452" i="4"/>
  <c r="E452" i="4" s="1"/>
  <c r="C453" i="4"/>
  <c r="C454" i="4"/>
  <c r="C455" i="4"/>
  <c r="C456" i="4"/>
  <c r="C457" i="4"/>
  <c r="C458" i="4"/>
  <c r="C459" i="4"/>
  <c r="D459" i="4" s="1"/>
  <c r="E459" i="4" s="1"/>
  <c r="C460" i="4"/>
  <c r="D460" i="4" s="1"/>
  <c r="C461" i="4"/>
  <c r="C462" i="4"/>
  <c r="D462" i="4" s="1"/>
  <c r="E462" i="4" s="1"/>
  <c r="C463" i="4"/>
  <c r="C464" i="4"/>
  <c r="D464" i="4" s="1"/>
  <c r="C465" i="4"/>
  <c r="D465" i="4" s="1"/>
  <c r="E465" i="4" s="1"/>
  <c r="C466" i="4"/>
  <c r="C468" i="4"/>
  <c r="C469" i="4"/>
  <c r="C470" i="4"/>
  <c r="C471" i="4"/>
  <c r="C472" i="4"/>
  <c r="E472" i="4" s="1"/>
  <c r="C474" i="4"/>
  <c r="C476" i="4"/>
  <c r="C477" i="4"/>
  <c r="C478" i="4"/>
  <c r="D478" i="4" s="1"/>
  <c r="E478" i="4" s="1"/>
  <c r="C479" i="4"/>
  <c r="C480" i="4"/>
  <c r="C482" i="4"/>
  <c r="C484" i="4"/>
  <c r="D484" i="4" s="1"/>
  <c r="E484" i="4" s="1"/>
  <c r="C485" i="4"/>
  <c r="C486" i="4"/>
  <c r="D486" i="4" s="1"/>
  <c r="E486" i="4" s="1"/>
  <c r="C487" i="4"/>
  <c r="D487" i="4" s="1"/>
  <c r="E487" i="4" s="1"/>
  <c r="C488" i="4"/>
  <c r="C490" i="4"/>
  <c r="C493" i="4"/>
  <c r="C496" i="4"/>
  <c r="D3" i="4"/>
  <c r="E3" i="4" s="1"/>
  <c r="D5" i="4"/>
  <c r="E5" i="4" s="1"/>
  <c r="D13" i="4"/>
  <c r="D15" i="4"/>
  <c r="E15" i="4" s="1"/>
  <c r="D19" i="4"/>
  <c r="E19" i="4" s="1"/>
  <c r="D20" i="4"/>
  <c r="D21" i="4"/>
  <c r="D22" i="4"/>
  <c r="E22" i="4" s="1"/>
  <c r="D23" i="4"/>
  <c r="E23" i="4" s="1"/>
  <c r="D24" i="4"/>
  <c r="D25" i="4"/>
  <c r="E25" i="4" s="1"/>
  <c r="D28" i="4"/>
  <c r="D29" i="4"/>
  <c r="D31" i="4"/>
  <c r="E31" i="4" s="1"/>
  <c r="D33" i="4"/>
  <c r="E33" i="4" s="1"/>
  <c r="D37" i="4"/>
  <c r="E37" i="4" s="1"/>
  <c r="D43" i="4"/>
  <c r="E43" i="4" s="1"/>
  <c r="D44" i="4"/>
  <c r="D45" i="4"/>
  <c r="D47" i="4"/>
  <c r="E47" i="4" s="1"/>
  <c r="D49" i="4"/>
  <c r="E49" i="4" s="1"/>
  <c r="D52" i="4"/>
  <c r="E52" i="4" s="1"/>
  <c r="D53" i="4"/>
  <c r="E53" i="4" s="1"/>
  <c r="D55" i="4"/>
  <c r="E55" i="4" s="1"/>
  <c r="D59" i="4"/>
  <c r="E59" i="4" s="1"/>
  <c r="D61" i="4"/>
  <c r="D68" i="4"/>
  <c r="D69" i="4"/>
  <c r="D70" i="4"/>
  <c r="E70" i="4" s="1"/>
  <c r="D71" i="4"/>
  <c r="E71" i="4" s="1"/>
  <c r="D73" i="4"/>
  <c r="E73" i="4" s="1"/>
  <c r="D77" i="4"/>
  <c r="D79" i="4"/>
  <c r="E79" i="4" s="1"/>
  <c r="D83" i="4"/>
  <c r="E83" i="4" s="1"/>
  <c r="D84" i="4"/>
  <c r="D85" i="4"/>
  <c r="D86" i="4"/>
  <c r="E86" i="4" s="1"/>
  <c r="D87" i="4"/>
  <c r="E87" i="4" s="1"/>
  <c r="D88" i="4"/>
  <c r="D89" i="4"/>
  <c r="E89" i="4" s="1"/>
  <c r="D92" i="4"/>
  <c r="D93" i="4"/>
  <c r="D95" i="4"/>
  <c r="E95" i="4" s="1"/>
  <c r="D97" i="4"/>
  <c r="E97" i="4" s="1"/>
  <c r="D101" i="4"/>
  <c r="E101" i="4" s="1"/>
  <c r="D107" i="4"/>
  <c r="E107" i="4" s="1"/>
  <c r="D108" i="4"/>
  <c r="D109" i="4"/>
  <c r="D111" i="4"/>
  <c r="E111" i="4" s="1"/>
  <c r="D113" i="4"/>
  <c r="E113" i="4" s="1"/>
  <c r="D116" i="4"/>
  <c r="E116" i="4" s="1"/>
  <c r="D117" i="4"/>
  <c r="E117" i="4" s="1"/>
  <c r="D119" i="4"/>
  <c r="E119" i="4" s="1"/>
  <c r="D123" i="4"/>
  <c r="E123" i="4" s="1"/>
  <c r="D125" i="4"/>
  <c r="D132" i="4"/>
  <c r="D133" i="4"/>
  <c r="D134" i="4"/>
  <c r="E134" i="4" s="1"/>
  <c r="D135" i="4"/>
  <c r="E135" i="4" s="1"/>
  <c r="D137" i="4"/>
  <c r="E137" i="4" s="1"/>
  <c r="D141" i="4"/>
  <c r="D143" i="4"/>
  <c r="E143" i="4" s="1"/>
  <c r="D147" i="4"/>
  <c r="E147" i="4" s="1"/>
  <c r="D148" i="4"/>
  <c r="D149" i="4"/>
  <c r="D150" i="4"/>
  <c r="E150" i="4" s="1"/>
  <c r="D151" i="4"/>
  <c r="E151" i="4" s="1"/>
  <c r="D152" i="4"/>
  <c r="D153" i="4"/>
  <c r="E153" i="4" s="1"/>
  <c r="D156" i="4"/>
  <c r="D157" i="4"/>
  <c r="D159" i="4"/>
  <c r="E159" i="4" s="1"/>
  <c r="D161" i="4"/>
  <c r="E161" i="4" s="1"/>
  <c r="D165" i="4"/>
  <c r="E165" i="4" s="1"/>
  <c r="D171" i="4"/>
  <c r="E171" i="4" s="1"/>
  <c r="D172" i="4"/>
  <c r="D173" i="4"/>
  <c r="D175" i="4"/>
  <c r="E175" i="4" s="1"/>
  <c r="D177" i="4"/>
  <c r="E177" i="4" s="1"/>
  <c r="D180" i="4"/>
  <c r="E180" i="4" s="1"/>
  <c r="D181" i="4"/>
  <c r="E181" i="4" s="1"/>
  <c r="D183" i="4"/>
  <c r="E183" i="4" s="1"/>
  <c r="D187" i="4"/>
  <c r="E187" i="4" s="1"/>
  <c r="D189" i="4"/>
  <c r="D196" i="4"/>
  <c r="D197" i="4"/>
  <c r="D198" i="4"/>
  <c r="E198" i="4" s="1"/>
  <c r="D199" i="4"/>
  <c r="E199" i="4" s="1"/>
  <c r="D201" i="4"/>
  <c r="E201" i="4" s="1"/>
  <c r="D205" i="4"/>
  <c r="D207" i="4"/>
  <c r="E207" i="4" s="1"/>
  <c r="D211" i="4"/>
  <c r="E211" i="4" s="1"/>
  <c r="D212" i="4"/>
  <c r="D213" i="4"/>
  <c r="D214" i="4"/>
  <c r="E214" i="4" s="1"/>
  <c r="D215" i="4"/>
  <c r="E215" i="4" s="1"/>
  <c r="D216" i="4"/>
  <c r="D217" i="4"/>
  <c r="E217" i="4" s="1"/>
  <c r="D220" i="4"/>
  <c r="D221" i="4"/>
  <c r="D223" i="4"/>
  <c r="E223" i="4" s="1"/>
  <c r="D225" i="4"/>
  <c r="E225" i="4" s="1"/>
  <c r="D229" i="4"/>
  <c r="E229" i="4" s="1"/>
  <c r="D235" i="4"/>
  <c r="E235" i="4" s="1"/>
  <c r="D236" i="4"/>
  <c r="D237" i="4"/>
  <c r="D239" i="4"/>
  <c r="E239" i="4" s="1"/>
  <c r="D241" i="4"/>
  <c r="E241" i="4" s="1"/>
  <c r="D244" i="4"/>
  <c r="E244" i="4" s="1"/>
  <c r="D245" i="4"/>
  <c r="E245" i="4" s="1"/>
  <c r="D247" i="4"/>
  <c r="E247" i="4" s="1"/>
  <c r="D251" i="4"/>
  <c r="E251" i="4" s="1"/>
  <c r="D253" i="4"/>
  <c r="D260" i="4"/>
  <c r="D261" i="4"/>
  <c r="D262" i="4"/>
  <c r="E262" i="4" s="1"/>
  <c r="D263" i="4"/>
  <c r="E263" i="4" s="1"/>
  <c r="D265" i="4"/>
  <c r="E265" i="4" s="1"/>
  <c r="D269" i="4"/>
  <c r="D271" i="4"/>
  <c r="E271" i="4" s="1"/>
  <c r="D275" i="4"/>
  <c r="E275" i="4" s="1"/>
  <c r="D276" i="4"/>
  <c r="D277" i="4"/>
  <c r="D278" i="4"/>
  <c r="E278" i="4" s="1"/>
  <c r="D279" i="4"/>
  <c r="E279" i="4" s="1"/>
  <c r="D280" i="4"/>
  <c r="D281" i="4"/>
  <c r="E281" i="4" s="1"/>
  <c r="D284" i="4"/>
  <c r="D285" i="4"/>
  <c r="D287" i="4"/>
  <c r="E287" i="4" s="1"/>
  <c r="D289" i="4"/>
  <c r="E289" i="4" s="1"/>
  <c r="D293" i="4"/>
  <c r="E293" i="4" s="1"/>
  <c r="D299" i="4"/>
  <c r="E299" i="4" s="1"/>
  <c r="D300" i="4"/>
  <c r="D301" i="4"/>
  <c r="D303" i="4"/>
  <c r="E303" i="4" s="1"/>
  <c r="D305" i="4"/>
  <c r="E305" i="4" s="1"/>
  <c r="D308" i="4"/>
  <c r="E308" i="4" s="1"/>
  <c r="D309" i="4"/>
  <c r="E309" i="4" s="1"/>
  <c r="D311" i="4"/>
  <c r="E311" i="4" s="1"/>
  <c r="D315" i="4"/>
  <c r="E315" i="4" s="1"/>
  <c r="D317" i="4"/>
  <c r="D324" i="4"/>
  <c r="D325" i="4"/>
  <c r="D326" i="4"/>
  <c r="E326" i="4" s="1"/>
  <c r="D327" i="4"/>
  <c r="E327" i="4" s="1"/>
  <c r="D329" i="4"/>
  <c r="E329" i="4" s="1"/>
  <c r="D333" i="4"/>
  <c r="D335" i="4"/>
  <c r="E335" i="4" s="1"/>
  <c r="D339" i="4"/>
  <c r="E339" i="4" s="1"/>
  <c r="D340" i="4"/>
  <c r="D341" i="4"/>
  <c r="D342" i="4"/>
  <c r="E342" i="4" s="1"/>
  <c r="D343" i="4"/>
  <c r="E343" i="4" s="1"/>
  <c r="D344" i="4"/>
  <c r="D345" i="4"/>
  <c r="E345" i="4" s="1"/>
  <c r="D348" i="4"/>
  <c r="D349" i="4"/>
  <c r="D351" i="4"/>
  <c r="E351" i="4" s="1"/>
  <c r="D353" i="4"/>
  <c r="E353" i="4" s="1"/>
  <c r="D357" i="4"/>
  <c r="E357" i="4" s="1"/>
  <c r="D363" i="4"/>
  <c r="E363" i="4" s="1"/>
  <c r="D364" i="4"/>
  <c r="D365" i="4"/>
  <c r="D367" i="4"/>
  <c r="E367" i="4" s="1"/>
  <c r="D369" i="4"/>
  <c r="E369" i="4" s="1"/>
  <c r="D372" i="4"/>
  <c r="E372" i="4" s="1"/>
  <c r="D373" i="4"/>
  <c r="E373" i="4" s="1"/>
  <c r="D375" i="4"/>
  <c r="E375" i="4" s="1"/>
  <c r="D379" i="4"/>
  <c r="E379" i="4" s="1"/>
  <c r="D381" i="4"/>
  <c r="D388" i="4"/>
  <c r="D389" i="4"/>
  <c r="D390" i="4"/>
  <c r="E390" i="4" s="1"/>
  <c r="D391" i="4"/>
  <c r="E391" i="4" s="1"/>
  <c r="D393" i="4"/>
  <c r="E393" i="4" s="1"/>
  <c r="D397" i="4"/>
  <c r="D399" i="4"/>
  <c r="E399" i="4" s="1"/>
  <c r="D403" i="4"/>
  <c r="E403" i="4" s="1"/>
  <c r="D404" i="4"/>
  <c r="D405" i="4"/>
  <c r="D406" i="4"/>
  <c r="E406" i="4" s="1"/>
  <c r="D407" i="4"/>
  <c r="E407" i="4" s="1"/>
  <c r="D408" i="4"/>
  <c r="D409" i="4"/>
  <c r="E409" i="4" s="1"/>
  <c r="D412" i="4"/>
  <c r="D413" i="4"/>
  <c r="D415" i="4"/>
  <c r="E415" i="4" s="1"/>
  <c r="D417" i="4"/>
  <c r="E417" i="4" s="1"/>
  <c r="D421" i="4"/>
  <c r="E421" i="4" s="1"/>
  <c r="D427" i="4"/>
  <c r="E427" i="4" s="1"/>
  <c r="D428" i="4"/>
  <c r="D429" i="4"/>
  <c r="D431" i="4"/>
  <c r="E431" i="4" s="1"/>
  <c r="D433" i="4"/>
  <c r="E433" i="4" s="1"/>
  <c r="D436" i="4"/>
  <c r="E436" i="4" s="1"/>
  <c r="D437" i="4"/>
  <c r="E437" i="4" s="1"/>
  <c r="D439" i="4"/>
  <c r="E439" i="4" s="1"/>
  <c r="D443" i="4"/>
  <c r="E443" i="4" s="1"/>
  <c r="D445" i="4"/>
  <c r="D452" i="4"/>
  <c r="D453" i="4"/>
  <c r="D454" i="4"/>
  <c r="E454" i="4" s="1"/>
  <c r="D455" i="4"/>
  <c r="E455" i="4" s="1"/>
  <c r="D457" i="4"/>
  <c r="E457" i="4" s="1"/>
  <c r="D461" i="4"/>
  <c r="D463" i="4"/>
  <c r="E463" i="4" s="1"/>
  <c r="D468" i="4"/>
  <c r="D470" i="4"/>
  <c r="E470" i="4" s="1"/>
  <c r="D471" i="4"/>
  <c r="E471" i="4" s="1"/>
  <c r="D472" i="4"/>
  <c r="D476" i="4"/>
  <c r="D479" i="4"/>
  <c r="E479" i="4" s="1"/>
  <c r="D485" i="4"/>
  <c r="E485" i="4" s="1"/>
  <c r="E13" i="4"/>
  <c r="E20" i="4"/>
  <c r="E21" i="4"/>
  <c r="E28" i="4"/>
  <c r="E29" i="4"/>
  <c r="E44" i="4"/>
  <c r="E45" i="4"/>
  <c r="E61" i="4"/>
  <c r="E69" i="4"/>
  <c r="E77" i="4"/>
  <c r="E84" i="4"/>
  <c r="E85" i="4"/>
  <c r="E92" i="4"/>
  <c r="E93" i="4"/>
  <c r="E108" i="4"/>
  <c r="E109" i="4"/>
  <c r="E125" i="4"/>
  <c r="E133" i="4"/>
  <c r="E141" i="4"/>
  <c r="E148" i="4"/>
  <c r="E149" i="4"/>
  <c r="E156" i="4"/>
  <c r="E157" i="4"/>
  <c r="E172" i="4"/>
  <c r="E173" i="4"/>
  <c r="E189" i="4"/>
  <c r="E197" i="4"/>
  <c r="E205" i="4"/>
  <c r="E212" i="4"/>
  <c r="E213" i="4"/>
  <c r="E220" i="4"/>
  <c r="E221" i="4"/>
  <c r="E236" i="4"/>
  <c r="E237" i="4"/>
  <c r="E253" i="4"/>
  <c r="E261" i="4"/>
  <c r="E269" i="4"/>
  <c r="E276" i="4"/>
  <c r="E277" i="4"/>
  <c r="E284" i="4"/>
  <c r="E285" i="4"/>
  <c r="E300" i="4"/>
  <c r="E301" i="4"/>
  <c r="E317" i="4"/>
  <c r="E325" i="4"/>
  <c r="E333" i="4"/>
  <c r="E340" i="4"/>
  <c r="E341" i="4"/>
  <c r="E348" i="4"/>
  <c r="E349" i="4"/>
  <c r="E364" i="4"/>
  <c r="E365" i="4"/>
  <c r="E381" i="4"/>
  <c r="E389" i="4"/>
  <c r="E397" i="4"/>
  <c r="E404" i="4"/>
  <c r="E405" i="4"/>
  <c r="E412" i="4"/>
  <c r="E413" i="4"/>
  <c r="E428" i="4"/>
  <c r="E429" i="4"/>
  <c r="E445" i="4"/>
  <c r="E453" i="4"/>
  <c r="E461" i="4"/>
  <c r="E468" i="4"/>
  <c r="E476" i="4"/>
  <c r="E2" i="4"/>
  <c r="D2" i="4"/>
  <c r="C3" i="4"/>
  <c r="B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E456" i="4" l="1"/>
  <c r="E320" i="4"/>
  <c r="E304" i="4"/>
  <c r="E288" i="4"/>
  <c r="E256" i="4"/>
  <c r="E224" i="4"/>
  <c r="E192" i="4"/>
  <c r="E184" i="4"/>
  <c r="E176" i="4"/>
  <c r="E160" i="4"/>
  <c r="E128" i="4"/>
  <c r="E56" i="4"/>
  <c r="E32" i="4"/>
  <c r="E496" i="4"/>
  <c r="E501" i="4"/>
  <c r="D500" i="4"/>
  <c r="E500" i="4" s="1"/>
  <c r="E464" i="4"/>
  <c r="E444" i="4"/>
  <c r="E400" i="4"/>
  <c r="E380" i="4"/>
  <c r="E336" i="4"/>
  <c r="E316" i="4"/>
  <c r="E272" i="4"/>
  <c r="E252" i="4"/>
  <c r="E208" i="4"/>
  <c r="E188" i="4"/>
  <c r="E144" i="4"/>
  <c r="E124" i="4"/>
  <c r="E80" i="4"/>
  <c r="E60" i="4"/>
  <c r="E16" i="4"/>
  <c r="D499" i="4"/>
  <c r="E499" i="4" s="1"/>
  <c r="D480" i="4"/>
  <c r="E480" i="4" s="1"/>
  <c r="D416" i="4"/>
  <c r="E416" i="4" s="1"/>
  <c r="D352" i="4"/>
  <c r="E352" i="4" s="1"/>
  <c r="D288" i="4"/>
  <c r="D224" i="4"/>
  <c r="D160" i="4"/>
  <c r="D96" i="4"/>
  <c r="E96" i="4" s="1"/>
  <c r="D32" i="4"/>
  <c r="D4" i="4"/>
  <c r="E4" i="4" s="1"/>
  <c r="E460" i="4"/>
  <c r="E396" i="4"/>
  <c r="E332" i="4"/>
  <c r="E268" i="4"/>
  <c r="E204" i="4"/>
  <c r="E140" i="4"/>
  <c r="E76" i="4"/>
  <c r="E12" i="4"/>
  <c r="D496" i="4"/>
  <c r="D432" i="4"/>
  <c r="E432" i="4" s="1"/>
  <c r="D368" i="4"/>
  <c r="E368" i="4" s="1"/>
  <c r="D304" i="4"/>
  <c r="D240" i="4"/>
  <c r="E240" i="4" s="1"/>
  <c r="D176" i="4"/>
  <c r="D112" i="4"/>
  <c r="E112" i="4" s="1"/>
  <c r="D48" i="4"/>
  <c r="E48" i="4" s="1"/>
  <c r="E392" i="4"/>
  <c r="E328" i="4"/>
  <c r="E264" i="4"/>
  <c r="E200" i="4"/>
  <c r="E136" i="4"/>
  <c r="E72" i="4"/>
  <c r="E8" i="4"/>
  <c r="D440" i="4"/>
  <c r="E440" i="4" s="1"/>
  <c r="D376" i="4"/>
  <c r="E376" i="4" s="1"/>
  <c r="D312" i="4"/>
  <c r="E312" i="4" s="1"/>
  <c r="D248" i="4"/>
  <c r="E248" i="4" s="1"/>
  <c r="D184" i="4"/>
  <c r="D120" i="4"/>
  <c r="E120" i="4" s="1"/>
  <c r="D56" i="4"/>
  <c r="D488" i="4"/>
  <c r="E488" i="4" s="1"/>
  <c r="C494" i="4"/>
  <c r="D494" i="4" s="1"/>
  <c r="E494" i="4" s="1"/>
  <c r="D448" i="4"/>
  <c r="E448" i="4" s="1"/>
  <c r="D384" i="4"/>
  <c r="E384" i="4" s="1"/>
  <c r="D320" i="4"/>
  <c r="D256" i="4"/>
  <c r="D192" i="4"/>
  <c r="D128" i="4"/>
  <c r="D64" i="4"/>
  <c r="E64" i="4" s="1"/>
  <c r="D490" i="4"/>
  <c r="E490" i="4" s="1"/>
  <c r="D482" i="4"/>
  <c r="E482" i="4" s="1"/>
  <c r="D474" i="4"/>
  <c r="E474" i="4" s="1"/>
  <c r="D466" i="4"/>
  <c r="E466" i="4" s="1"/>
  <c r="D458" i="4"/>
  <c r="E458" i="4" s="1"/>
  <c r="D450" i="4"/>
  <c r="E450" i="4" s="1"/>
  <c r="D442" i="4"/>
  <c r="E44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26917A-C2CE-44C7-A763-1473C72A3F2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<sst xmlns="http://schemas.openxmlformats.org/spreadsheetml/2006/main" count="3542" uniqueCount="1515">
  <si>
    <t>Customer_ID</t>
  </si>
  <si>
    <t>Customer_Name</t>
  </si>
  <si>
    <t>Region</t>
  </si>
  <si>
    <t>Segment</t>
  </si>
  <si>
    <t>Cust 6583</t>
  </si>
  <si>
    <t>Aman Iyer</t>
  </si>
  <si>
    <t>Asia</t>
  </si>
  <si>
    <t>Home Office</t>
  </si>
  <si>
    <t>Cust 2144</t>
  </si>
  <si>
    <t>Riya Kapoor</t>
  </si>
  <si>
    <t>South America</t>
  </si>
  <si>
    <t>Consumer</t>
  </si>
  <si>
    <t>Cust 5998</t>
  </si>
  <si>
    <t>Ira Nair</t>
  </si>
  <si>
    <t>North America</t>
  </si>
  <si>
    <t>Cust 7136</t>
  </si>
  <si>
    <t>Anushka Pillai</t>
  </si>
  <si>
    <t>Africa</t>
  </si>
  <si>
    <t>Cust 6506</t>
  </si>
  <si>
    <t>Sneha Rao</t>
  </si>
  <si>
    <t>Cust 3909</t>
  </si>
  <si>
    <t>Vivek Patel</t>
  </si>
  <si>
    <t>Cust 7887</t>
  </si>
  <si>
    <t>Nisha Yadav</t>
  </si>
  <si>
    <t>Cust 5301</t>
  </si>
  <si>
    <t>Dev Ghosh</t>
  </si>
  <si>
    <t>Cust 2284</t>
  </si>
  <si>
    <t>Manav Joshi</t>
  </si>
  <si>
    <t>Corporate</t>
  </si>
  <si>
    <t>Cust 3732</t>
  </si>
  <si>
    <t>Riya Gupta</t>
  </si>
  <si>
    <t>Europe</t>
  </si>
  <si>
    <t>Cust 1462</t>
  </si>
  <si>
    <t>Arjun Reddy</t>
  </si>
  <si>
    <t>Cust 4330</t>
  </si>
  <si>
    <t>Akash Mishra</t>
  </si>
  <si>
    <t>Cust 2372</t>
  </si>
  <si>
    <t>Rohan Roy</t>
  </si>
  <si>
    <t>Cust 4672</t>
  </si>
  <si>
    <t>Yash Reddy</t>
  </si>
  <si>
    <t>Cust 4548</t>
  </si>
  <si>
    <t>Aman Mukherjee</t>
  </si>
  <si>
    <t>Cust 7037</t>
  </si>
  <si>
    <t>Karan Mehta</t>
  </si>
  <si>
    <t>Cust 4975</t>
  </si>
  <si>
    <t>Siddharth Bhat</t>
  </si>
  <si>
    <t>Cust 8014</t>
  </si>
  <si>
    <t>Arjun Desai</t>
  </si>
  <si>
    <t>Cust 1228</t>
  </si>
  <si>
    <t>Aman Kulkarni</t>
  </si>
  <si>
    <t>Cust 4247</t>
  </si>
  <si>
    <t>Akash Rao</t>
  </si>
  <si>
    <t>Cust 4199</t>
  </si>
  <si>
    <t>Komal Mehta</t>
  </si>
  <si>
    <t>Cust 4186</t>
  </si>
  <si>
    <t>Aditya Yadav</t>
  </si>
  <si>
    <t>Cust 8137</t>
  </si>
  <si>
    <t>Sakshi Desai</t>
  </si>
  <si>
    <t>Cust 4638</t>
  </si>
  <si>
    <t>Dhruv Sen</t>
  </si>
  <si>
    <t>Cust 8538</t>
  </si>
  <si>
    <t>Varun Singh</t>
  </si>
  <si>
    <t>Cust 6322</t>
  </si>
  <si>
    <t>Varun Bose</t>
  </si>
  <si>
    <t>Cust 2609</t>
  </si>
  <si>
    <t>Meera Choudhary</t>
  </si>
  <si>
    <t>Cust 6880</t>
  </si>
  <si>
    <t>Swati Pandey</t>
  </si>
  <si>
    <t>Cust 1997</t>
  </si>
  <si>
    <t>Sakshi Gupta</t>
  </si>
  <si>
    <t>Cust 7072</t>
  </si>
  <si>
    <t>Ishita Sen</t>
  </si>
  <si>
    <t>Cust 7201</t>
  </si>
  <si>
    <t>Ira Ghosh</t>
  </si>
  <si>
    <t>Cust 9923</t>
  </si>
  <si>
    <t>Shreya Kulkarni</t>
  </si>
  <si>
    <t>Cust 2205</t>
  </si>
  <si>
    <t>Abhishek Pandey</t>
  </si>
  <si>
    <t>Cust 6403</t>
  </si>
  <si>
    <t>Kavya Gupta</t>
  </si>
  <si>
    <t>Cust 3953</t>
  </si>
  <si>
    <t>Nandini Bansal</t>
  </si>
  <si>
    <t>Cust 7902</t>
  </si>
  <si>
    <t>Yash Bansal</t>
  </si>
  <si>
    <t>Cust 9968</t>
  </si>
  <si>
    <t>Manish Sen</t>
  </si>
  <si>
    <t>Cust 3787</t>
  </si>
  <si>
    <t>Gaurav Iyer</t>
  </si>
  <si>
    <t>Cust 2469</t>
  </si>
  <si>
    <t>Preeti Kaur</t>
  </si>
  <si>
    <t>Cust 6468</t>
  </si>
  <si>
    <t>Nandini Joshi</t>
  </si>
  <si>
    <t>Cust 5312</t>
  </si>
  <si>
    <t>Gaurav Das</t>
  </si>
  <si>
    <t>Cust 1482</t>
  </si>
  <si>
    <t>Abhishek Nair</t>
  </si>
  <si>
    <t>Cust 7903</t>
  </si>
  <si>
    <t>Abhishek Bansal</t>
  </si>
  <si>
    <t>Cust 9605</t>
  </si>
  <si>
    <t>Tanvi Joshi</t>
  </si>
  <si>
    <t>Cust 3298</t>
  </si>
  <si>
    <t>Aarav Bansal</t>
  </si>
  <si>
    <t>Cust 5533</t>
  </si>
  <si>
    <t>Ananya Iyer</t>
  </si>
  <si>
    <t>Cust 6362</t>
  </si>
  <si>
    <t>Ishita Singh</t>
  </si>
  <si>
    <t>Cust 4826</t>
  </si>
  <si>
    <t>Sneha Reddy</t>
  </si>
  <si>
    <t>Cust 2171</t>
  </si>
  <si>
    <t>Manav Yadav</t>
  </si>
  <si>
    <t>Cust 4005</t>
  </si>
  <si>
    <t>Rishabh Saxena</t>
  </si>
  <si>
    <t>Cust 7032</t>
  </si>
  <si>
    <t>Manish Arora</t>
  </si>
  <si>
    <t>Cust 7167</t>
  </si>
  <si>
    <t>Meera Yadav</t>
  </si>
  <si>
    <t>Cust 5702</t>
  </si>
  <si>
    <t>Aditi Bose</t>
  </si>
  <si>
    <t>Cust 4944</t>
  </si>
  <si>
    <t>Pallavi Khanna</t>
  </si>
  <si>
    <t>Cust 8149</t>
  </si>
  <si>
    <t>Siddharth Mehta</t>
  </si>
  <si>
    <t>Cust 3638</t>
  </si>
  <si>
    <t>Anushka Sen</t>
  </si>
  <si>
    <t>Cust 9973</t>
  </si>
  <si>
    <t>Siddharth Sharma</t>
  </si>
  <si>
    <t>Cust 4214</t>
  </si>
  <si>
    <t>Aman Singh</t>
  </si>
  <si>
    <t>Cust 2647</t>
  </si>
  <si>
    <t>Rohan Kaur</t>
  </si>
  <si>
    <t>Cust 3552</t>
  </si>
  <si>
    <t>Ishita Chatterjee</t>
  </si>
  <si>
    <t>Cust 3354</t>
  </si>
  <si>
    <t>Rajat Verma</t>
  </si>
  <si>
    <t>Cust 3903</t>
  </si>
  <si>
    <t>Mohit Kapoor</t>
  </si>
  <si>
    <t>Cust 5358</t>
  </si>
  <si>
    <t>Karan Nair</t>
  </si>
  <si>
    <t>Cust 8144</t>
  </si>
  <si>
    <t>Nandini Mishra</t>
  </si>
  <si>
    <t>Cust 6747</t>
  </si>
  <si>
    <t>Sakshi Singh</t>
  </si>
  <si>
    <t>Cust 8330</t>
  </si>
  <si>
    <t>Shreya Kaur</t>
  </si>
  <si>
    <t>Cust 7186</t>
  </si>
  <si>
    <t>Karan Malhotra</t>
  </si>
  <si>
    <t>Cust 8287</t>
  </si>
  <si>
    <t>Rahul Pillai</t>
  </si>
  <si>
    <t>Cust 3986</t>
  </si>
  <si>
    <t>Sakshi Kapoor</t>
  </si>
  <si>
    <t>Cust 3213</t>
  </si>
  <si>
    <t>Manya Nair</t>
  </si>
  <si>
    <t>Cust 1907</t>
  </si>
  <si>
    <t>Rajat Sharma</t>
  </si>
  <si>
    <t>Cust 4639</t>
  </si>
  <si>
    <t>Aditya Agarwal</t>
  </si>
  <si>
    <t>Cust 4153</t>
  </si>
  <si>
    <t>Meera Bose</t>
  </si>
  <si>
    <t>Cust 7096</t>
  </si>
  <si>
    <t>Yash Sharma</t>
  </si>
  <si>
    <t>Cust 3806</t>
  </si>
  <si>
    <t>Sakshi Bhat</t>
  </si>
  <si>
    <t>Cust 9345</t>
  </si>
  <si>
    <t>Gaurav Sen</t>
  </si>
  <si>
    <t>Cust 4456</t>
  </si>
  <si>
    <t>Karan Bhat</t>
  </si>
  <si>
    <t>Cust 1089</t>
  </si>
  <si>
    <t>Anushka Yadav</t>
  </si>
  <si>
    <t>Cust 7230</t>
  </si>
  <si>
    <t>Priya Ghosh</t>
  </si>
  <si>
    <t>Cust 6597</t>
  </si>
  <si>
    <t>Pallavi Joshi</t>
  </si>
  <si>
    <t>Cust 4108</t>
  </si>
  <si>
    <t>Sneha Shah</t>
  </si>
  <si>
    <t>Cust 2883</t>
  </si>
  <si>
    <t>Vikram Kapoor</t>
  </si>
  <si>
    <t>Cust 5018</t>
  </si>
  <si>
    <t>Saurabh Kapoor</t>
  </si>
  <si>
    <t>Cust 1231</t>
  </si>
  <si>
    <t>Rohan Mukherjee</t>
  </si>
  <si>
    <t>Cust 2209</t>
  </si>
  <si>
    <t>Rishabh Ghosh</t>
  </si>
  <si>
    <t>Cust 6684</t>
  </si>
  <si>
    <t>Varun Das</t>
  </si>
  <si>
    <t>Cust 5289</t>
  </si>
  <si>
    <t>Nisha Sinha</t>
  </si>
  <si>
    <t>Cust 9159</t>
  </si>
  <si>
    <t>Shreya Verma</t>
  </si>
  <si>
    <t>Cust 4844</t>
  </si>
  <si>
    <t>Varun Mehta</t>
  </si>
  <si>
    <t>Cust 3273</t>
  </si>
  <si>
    <t>Ritika Choudhary</t>
  </si>
  <si>
    <t>Cust 8160</t>
  </si>
  <si>
    <t>Rajat Rao</t>
  </si>
  <si>
    <t>Cust 4439</t>
  </si>
  <si>
    <t>Rahul Mishra</t>
  </si>
  <si>
    <t>Cust 1127</t>
  </si>
  <si>
    <t>Tanvi Bhat</t>
  </si>
  <si>
    <t>Cust 4696</t>
  </si>
  <si>
    <t>Rajat Menon</t>
  </si>
  <si>
    <t>Cust 3014</t>
  </si>
  <si>
    <t>Pallavi Sharma</t>
  </si>
  <si>
    <t>Cust 2539</t>
  </si>
  <si>
    <t>Rishabh Nair</t>
  </si>
  <si>
    <t>Cust 3916</t>
  </si>
  <si>
    <t>Kavya Nair</t>
  </si>
  <si>
    <t>Cust 6329</t>
  </si>
  <si>
    <t>Riya Bhat</t>
  </si>
  <si>
    <t>Cust 4384</t>
  </si>
  <si>
    <t>Nisha Kaur</t>
  </si>
  <si>
    <t>Cust 7756</t>
  </si>
  <si>
    <t>Aman Das</t>
  </si>
  <si>
    <t>Cust 6086</t>
  </si>
  <si>
    <t>Manish Singh</t>
  </si>
  <si>
    <t>Cust 3845</t>
  </si>
  <si>
    <t>Nandini Chatterjee</t>
  </si>
  <si>
    <t>Cust 9996</t>
  </si>
  <si>
    <t>Simran Verma</t>
  </si>
  <si>
    <t>Cust 1711</t>
  </si>
  <si>
    <t>Ira Khanna</t>
  </si>
  <si>
    <t>Cust 4522</t>
  </si>
  <si>
    <t>Nandini Sen</t>
  </si>
  <si>
    <t>Cust 4233</t>
  </si>
  <si>
    <t>Vikram Gupta</t>
  </si>
  <si>
    <t>Cust 4121</t>
  </si>
  <si>
    <t>Tanvi Ghosh</t>
  </si>
  <si>
    <t>Cust 9092</t>
  </si>
  <si>
    <t>Nandini Verma</t>
  </si>
  <si>
    <t>Cust 9090</t>
  </si>
  <si>
    <t>Tanvi Kumar</t>
  </si>
  <si>
    <t>Cust 1983</t>
  </si>
  <si>
    <t>Komal Kapoor</t>
  </si>
  <si>
    <t>Cust 8834</t>
  </si>
  <si>
    <t>Preeti Sen</t>
  </si>
  <si>
    <t>Cust 9780</t>
  </si>
  <si>
    <t>Ira Gupta</t>
  </si>
  <si>
    <t>Cust 1293</t>
  </si>
  <si>
    <t>Pooja Agarwal</t>
  </si>
  <si>
    <t>Cust 3173</t>
  </si>
  <si>
    <t>Ira Kaur</t>
  </si>
  <si>
    <t>Cust 8641</t>
  </si>
  <si>
    <t>Ira Kapoor</t>
  </si>
  <si>
    <t>Cust 7656</t>
  </si>
  <si>
    <t>Dhruv Nair</t>
  </si>
  <si>
    <t>Cust 5523</t>
  </si>
  <si>
    <t>Mohit Jain</t>
  </si>
  <si>
    <t>Cust 2015</t>
  </si>
  <si>
    <t>Akash Menon</t>
  </si>
  <si>
    <t>Cust 6895</t>
  </si>
  <si>
    <t>Ananya Malhotra</t>
  </si>
  <si>
    <t>Cust 1797</t>
  </si>
  <si>
    <t>Riya Mehta</t>
  </si>
  <si>
    <t>Cust 9969</t>
  </si>
  <si>
    <t>Swati Tiwari</t>
  </si>
  <si>
    <t>Cust 1815</t>
  </si>
  <si>
    <t>Rajat Kaur</t>
  </si>
  <si>
    <t>Cust 7773</t>
  </si>
  <si>
    <t>Manish Shah</t>
  </si>
  <si>
    <t>Cust 1499</t>
  </si>
  <si>
    <t>Rohan Nair</t>
  </si>
  <si>
    <t>Cust 3809</t>
  </si>
  <si>
    <t>Akash Sinha</t>
  </si>
  <si>
    <t>Cust 7824</t>
  </si>
  <si>
    <t>Abhishek Iyer</t>
  </si>
  <si>
    <t>Cust 7258</t>
  </si>
  <si>
    <t>Karan Das</t>
  </si>
  <si>
    <t>Cust 1151</t>
  </si>
  <si>
    <t>Nandini Sharma</t>
  </si>
  <si>
    <t>Cust 6486</t>
  </si>
  <si>
    <t>Komal Malhotra</t>
  </si>
  <si>
    <t>Cust 4034</t>
  </si>
  <si>
    <t>Vikram Kaur</t>
  </si>
  <si>
    <t>Cust 9794</t>
  </si>
  <si>
    <t>Rishabh Iyer</t>
  </si>
  <si>
    <t>Cust 2414</t>
  </si>
  <si>
    <t>Aditi Agarwal</t>
  </si>
  <si>
    <t>Cust 9024</t>
  </si>
  <si>
    <t>Dhruv Bhat</t>
  </si>
  <si>
    <t>Cust 2663</t>
  </si>
  <si>
    <t>Karan Agarwal</t>
  </si>
  <si>
    <t>Cust 2293</t>
  </si>
  <si>
    <t>Ira Shah</t>
  </si>
  <si>
    <t>Cust 8963</t>
  </si>
  <si>
    <t>Manya Sharma</t>
  </si>
  <si>
    <t>Cust 9238</t>
  </si>
  <si>
    <t>Meera Pillai</t>
  </si>
  <si>
    <t>Cust 1390</t>
  </si>
  <si>
    <t>Swati Sinha</t>
  </si>
  <si>
    <t>Cust 8548</t>
  </si>
  <si>
    <t>Dev Rao</t>
  </si>
  <si>
    <t>Cust 2919</t>
  </si>
  <si>
    <t>Ira Joshi</t>
  </si>
  <si>
    <t>Cust 5847</t>
  </si>
  <si>
    <t>Abhishek Mukherjee</t>
  </si>
  <si>
    <t>Cust 5711</t>
  </si>
  <si>
    <t>Manav Kapoor</t>
  </si>
  <si>
    <t>Cust 5461</t>
  </si>
  <si>
    <t>Karan Gupta</t>
  </si>
  <si>
    <t>Cust 8905</t>
  </si>
  <si>
    <t>Ishita Saxena</t>
  </si>
  <si>
    <t>Cust 9618</t>
  </si>
  <si>
    <t>Sakshi Agarwal</t>
  </si>
  <si>
    <t>Cust 5203</t>
  </si>
  <si>
    <t>Nisha Desai</t>
  </si>
  <si>
    <t>Cust 1732</t>
  </si>
  <si>
    <t>Ishita Gupta</t>
  </si>
  <si>
    <t>Cust 4734</t>
  </si>
  <si>
    <t>Preeti Pillai</t>
  </si>
  <si>
    <t>Cust 5895</t>
  </si>
  <si>
    <t>Dhruv Arora</t>
  </si>
  <si>
    <t>Cust 9691</t>
  </si>
  <si>
    <t>Manya Kapoor</t>
  </si>
  <si>
    <t>Cust 5406</t>
  </si>
  <si>
    <t>Rahul Roy</t>
  </si>
  <si>
    <t>Cust 5750</t>
  </si>
  <si>
    <t>Vivek Sinha</t>
  </si>
  <si>
    <t>Gaurav Tiwari</t>
  </si>
  <si>
    <t>Cust 8280</t>
  </si>
  <si>
    <t>Dev Joshi</t>
  </si>
  <si>
    <t>Cust 4358</t>
  </si>
  <si>
    <t>Manish Kapoor</t>
  </si>
  <si>
    <t>Cust 3588</t>
  </si>
  <si>
    <t>Divya Kapoor</t>
  </si>
  <si>
    <t>Cust 4539</t>
  </si>
  <si>
    <t>Vikram Bhat</t>
  </si>
  <si>
    <t>Cust 7067</t>
  </si>
  <si>
    <t>Simran Sinha</t>
  </si>
  <si>
    <t>Cust 7720</t>
  </si>
  <si>
    <t>Rahul Gupta</t>
  </si>
  <si>
    <t>Cust 5668</t>
  </si>
  <si>
    <t>Dhruv Gupta</t>
  </si>
  <si>
    <t>Cust 8367</t>
  </si>
  <si>
    <t>Harsh Agarwal</t>
  </si>
  <si>
    <t>Cust 4438</t>
  </si>
  <si>
    <t>Priya Rao</t>
  </si>
  <si>
    <t>Cust 3481</t>
  </si>
  <si>
    <t>Preeti Ghosh</t>
  </si>
  <si>
    <t>Cust 1489</t>
  </si>
  <si>
    <t>Yash Saxena</t>
  </si>
  <si>
    <t>Cust 6649</t>
  </si>
  <si>
    <t>Aditi Desai</t>
  </si>
  <si>
    <t>Cust 6114</t>
  </si>
  <si>
    <t>Ira Yadav</t>
  </si>
  <si>
    <t>Cust 9589</t>
  </si>
  <si>
    <t>Divya Jain</t>
  </si>
  <si>
    <t>Cust 8184</t>
  </si>
  <si>
    <t>Divya Patel</t>
  </si>
  <si>
    <t>Cust 2490</t>
  </si>
  <si>
    <t>Rishabh Bose</t>
  </si>
  <si>
    <t>Cust 1647</t>
  </si>
  <si>
    <t>Rahul Mukherjee</t>
  </si>
  <si>
    <t>Cust 2017</t>
  </si>
  <si>
    <t>Shreya Ghosh</t>
  </si>
  <si>
    <t>Cust 3446</t>
  </si>
  <si>
    <t>Ananya Reddy</t>
  </si>
  <si>
    <t>Cust 4877</t>
  </si>
  <si>
    <t>Sakshi Shah</t>
  </si>
  <si>
    <t>Cust 9112</t>
  </si>
  <si>
    <t>Yash Sinha</t>
  </si>
  <si>
    <t>Cust 8172</t>
  </si>
  <si>
    <t>Varun Kaur</t>
  </si>
  <si>
    <t>Cust 4597</t>
  </si>
  <si>
    <t>Manav Agarwal</t>
  </si>
  <si>
    <t>Cust 3690</t>
  </si>
  <si>
    <t>Mohit Patel</t>
  </si>
  <si>
    <t>Cust 2893</t>
  </si>
  <si>
    <t>Akash Jain</t>
  </si>
  <si>
    <t>Cust 5602</t>
  </si>
  <si>
    <t>Rohan Patel</t>
  </si>
  <si>
    <t>Cust 5616</t>
  </si>
  <si>
    <t>Ananya Mukherjee</t>
  </si>
  <si>
    <t>Cust 1312</t>
  </si>
  <si>
    <t>Rahul Saxena</t>
  </si>
  <si>
    <t>Cust 6315</t>
  </si>
  <si>
    <t>Meera Roy</t>
  </si>
  <si>
    <t>Cust 1224</t>
  </si>
  <si>
    <t>Aditya Bansal</t>
  </si>
  <si>
    <t>Cust 7182</t>
  </si>
  <si>
    <t>Nisha Iyer</t>
  </si>
  <si>
    <t>Cust 7901</t>
  </si>
  <si>
    <t>Arjun Ghosh</t>
  </si>
  <si>
    <t>Cust 1736</t>
  </si>
  <si>
    <t>Saurabh Desai</t>
  </si>
  <si>
    <t>Cust 7795</t>
  </si>
  <si>
    <t>Anushka Kapoor</t>
  </si>
  <si>
    <t>Cust 2471</t>
  </si>
  <si>
    <t>Preeti Menon</t>
  </si>
  <si>
    <t>Cust 3068</t>
  </si>
  <si>
    <t>Saurabh Kumar</t>
  </si>
  <si>
    <t>Cust 3848</t>
  </si>
  <si>
    <t>Nandini Kulkarni</t>
  </si>
  <si>
    <t>Cust 7777</t>
  </si>
  <si>
    <t>Swati Kaur</t>
  </si>
  <si>
    <t>Cust 6613</t>
  </si>
  <si>
    <t>Divya Nair</t>
  </si>
  <si>
    <t>Cust 2326</t>
  </si>
  <si>
    <t>Aman Roy</t>
  </si>
  <si>
    <t>Cust 8304</t>
  </si>
  <si>
    <t>Pooja Arora</t>
  </si>
  <si>
    <t>Cust 3630</t>
  </si>
  <si>
    <t>Rajat Saxena</t>
  </si>
  <si>
    <t>Cust 8617</t>
  </si>
  <si>
    <t>Gaurav Ghosh</t>
  </si>
  <si>
    <t>Cust 3530</t>
  </si>
  <si>
    <t>Ishita Reddy</t>
  </si>
  <si>
    <t>Cust 3884</t>
  </si>
  <si>
    <t>Ishita Roy</t>
  </si>
  <si>
    <t>Cust 5739</t>
  </si>
  <si>
    <t>Rishabh Desai</t>
  </si>
  <si>
    <t>Cust 9707</t>
  </si>
  <si>
    <t>Divya Sinha</t>
  </si>
  <si>
    <t>Cust 9288</t>
  </si>
  <si>
    <t>Meera Mishra</t>
  </si>
  <si>
    <t>Cust 1216</t>
  </si>
  <si>
    <t>Riya Bansal</t>
  </si>
  <si>
    <t>Cust 2489</t>
  </si>
  <si>
    <t>Aarav Arora</t>
  </si>
  <si>
    <t>Cust 7171</t>
  </si>
  <si>
    <t>Ishita Agarwal</t>
  </si>
  <si>
    <t>Cust 9125</t>
  </si>
  <si>
    <t>Dhruv Saxena</t>
  </si>
  <si>
    <t>Cust 9697</t>
  </si>
  <si>
    <t>Nikhil Jain</t>
  </si>
  <si>
    <t>Cust 8171</t>
  </si>
  <si>
    <t>Ishita Menon</t>
  </si>
  <si>
    <t>Cust 2004</t>
  </si>
  <si>
    <t>Mohit Sen</t>
  </si>
  <si>
    <t>Simran Mishra</t>
  </si>
  <si>
    <t>Cust 9837</t>
  </si>
  <si>
    <t>Aditi Das</t>
  </si>
  <si>
    <t>Cust 2082</t>
  </si>
  <si>
    <t>Gaurav Malhotra</t>
  </si>
  <si>
    <t>Cust 3001</t>
  </si>
  <si>
    <t>Manav Shah</t>
  </si>
  <si>
    <t>Cust 6161</t>
  </si>
  <si>
    <t>Ira Saxena</t>
  </si>
  <si>
    <t>Cust 5220</t>
  </si>
  <si>
    <t>Anushka Arora</t>
  </si>
  <si>
    <t>Cust 3386</t>
  </si>
  <si>
    <t>Arjun Malhotra</t>
  </si>
  <si>
    <t>Cust 1591</t>
  </si>
  <si>
    <t>Tanvi Shah</t>
  </si>
  <si>
    <t>Cust 3434</t>
  </si>
  <si>
    <t>Rahul Chatterjee</t>
  </si>
  <si>
    <t>Cust 1501</t>
  </si>
  <si>
    <t>Manya Bhat</t>
  </si>
  <si>
    <t>Cust 9683</t>
  </si>
  <si>
    <t>Manav Pandey</t>
  </si>
  <si>
    <t>Cust 5416</t>
  </si>
  <si>
    <t>Saurabh Bhat</t>
  </si>
  <si>
    <t>Cust 2153</t>
  </si>
  <si>
    <t>Dev Kaur</t>
  </si>
  <si>
    <t>Cust 3572</t>
  </si>
  <si>
    <t>Manish Saxena</t>
  </si>
  <si>
    <t>Cust 6372</t>
  </si>
  <si>
    <t>Shreya Pandey</t>
  </si>
  <si>
    <t>Cust 6109</t>
  </si>
  <si>
    <t>Neha Gupta</t>
  </si>
  <si>
    <t>Cust 5234</t>
  </si>
  <si>
    <t>Sneha Kapoor</t>
  </si>
  <si>
    <t>Cust 5530</t>
  </si>
  <si>
    <t>Vivek Bansal</t>
  </si>
  <si>
    <t>Cust 5398</t>
  </si>
  <si>
    <t>Preeti Arora</t>
  </si>
  <si>
    <t>Cust 3247</t>
  </si>
  <si>
    <t>Dev Menon</t>
  </si>
  <si>
    <t>Cust 7137</t>
  </si>
  <si>
    <t>Aditi Choudhary</t>
  </si>
  <si>
    <t>Cust 4627</t>
  </si>
  <si>
    <t>Ritika Nair</t>
  </si>
  <si>
    <t>Cust 4878</t>
  </si>
  <si>
    <t>Meera Das</t>
  </si>
  <si>
    <t>Cust 2779</t>
  </si>
  <si>
    <t>Ishita Shah</t>
  </si>
  <si>
    <t>Cust 8606</t>
  </si>
  <si>
    <t>Aditya Sharma</t>
  </si>
  <si>
    <t>Cust 9599</t>
  </si>
  <si>
    <t>Dhruv Bansal</t>
  </si>
  <si>
    <t>Cust 4500</t>
  </si>
  <si>
    <t>Rohan Jain</t>
  </si>
  <si>
    <t>Cust 4173</t>
  </si>
  <si>
    <t>Nikhil Roy</t>
  </si>
  <si>
    <t>Cust 7607</t>
  </si>
  <si>
    <t>Siddharth Das</t>
  </si>
  <si>
    <t>Cust 4768</t>
  </si>
  <si>
    <t>Karan Pillai</t>
  </si>
  <si>
    <t>Cust 5746</t>
  </si>
  <si>
    <t>Siddharth Gupta</t>
  </si>
  <si>
    <t>Cust 3002</t>
  </si>
  <si>
    <t>Vikram Singh</t>
  </si>
  <si>
    <t>Cust 3237</t>
  </si>
  <si>
    <t>Vivek Choudhary</t>
  </si>
  <si>
    <t>Cust 6437</t>
  </si>
  <si>
    <t>Kavya Roy</t>
  </si>
  <si>
    <t>Cust 8806</t>
  </si>
  <si>
    <t>Shreya Chatterjee</t>
  </si>
  <si>
    <t>Cust 8678</t>
  </si>
  <si>
    <t>Divya Khanna</t>
  </si>
  <si>
    <t>Cust 9649</t>
  </si>
  <si>
    <t>Rohan Pillai</t>
  </si>
  <si>
    <t>Cust 1960</t>
  </si>
  <si>
    <t>Manish Patel</t>
  </si>
  <si>
    <t>Cust 3910</t>
  </si>
  <si>
    <t>Komal Choudhary</t>
  </si>
  <si>
    <t>Manav Chatterjee</t>
  </si>
  <si>
    <t>Mohit Arora</t>
  </si>
  <si>
    <t>Cust 2279</t>
  </si>
  <si>
    <t>Pooja Ghosh</t>
  </si>
  <si>
    <t>Cust 4689</t>
  </si>
  <si>
    <t>Divya Reddy</t>
  </si>
  <si>
    <t>Cust 7381</t>
  </si>
  <si>
    <t>Harsh Kaur</t>
  </si>
  <si>
    <t>Cust 2724</t>
  </si>
  <si>
    <t>Arjun Joshi</t>
  </si>
  <si>
    <t>Cust 2823</t>
  </si>
  <si>
    <t>Dhruv Pandey</t>
  </si>
  <si>
    <t>Cust 9402</t>
  </si>
  <si>
    <t>Shreya Sen</t>
  </si>
  <si>
    <t>Cust 6561</t>
  </si>
  <si>
    <t>Sneha Sinha</t>
  </si>
  <si>
    <t>Cust 3116</t>
  </si>
  <si>
    <t>Kavya Bose</t>
  </si>
  <si>
    <t>Cust 1015</t>
  </si>
  <si>
    <t>Rishabh Yadav</t>
  </si>
  <si>
    <t>Cust 1207</t>
  </si>
  <si>
    <t>Priya Malhotra</t>
  </si>
  <si>
    <t>Cust 2501</t>
  </si>
  <si>
    <t>Ritika Pandey</t>
  </si>
  <si>
    <t>Cust 2330</t>
  </si>
  <si>
    <t>Meera Chatterjee</t>
  </si>
  <si>
    <t>Cust 7436</t>
  </si>
  <si>
    <t>Nikhil Khanna</t>
  </si>
  <si>
    <t>Cust 2762</t>
  </si>
  <si>
    <t>Ananya Bansal</t>
  </si>
  <si>
    <t>Cust 3599</t>
  </si>
  <si>
    <t>Aditya Menon</t>
  </si>
  <si>
    <t>Cust 4127</t>
  </si>
  <si>
    <t>Manya Agarwal</t>
  </si>
  <si>
    <t>Cust 6855</t>
  </si>
  <si>
    <t>Divya Bhat</t>
  </si>
  <si>
    <t>Cust 7017</t>
  </si>
  <si>
    <t>Riya Agarwal</t>
  </si>
  <si>
    <t>Cust 6957</t>
  </si>
  <si>
    <t>Manya Gupta</t>
  </si>
  <si>
    <t>Cust 9822</t>
  </si>
  <si>
    <t>Vivek Tiwari</t>
  </si>
  <si>
    <t>Cust 7425</t>
  </si>
  <si>
    <t>Simran Tiwari</t>
  </si>
  <si>
    <t>Nikhil Menon</t>
  </si>
  <si>
    <t>Cust 8897</t>
  </si>
  <si>
    <t>Rishabh Pandey</t>
  </si>
  <si>
    <t>Cust 9816</t>
  </si>
  <si>
    <t>Akash Kaur</t>
  </si>
  <si>
    <t>Cust 8227</t>
  </si>
  <si>
    <t>Yash Roy</t>
  </si>
  <si>
    <t>Cust 4990</t>
  </si>
  <si>
    <t>Dhruv Kapoor</t>
  </si>
  <si>
    <t>Cust 5834</t>
  </si>
  <si>
    <t>Siddharth Agarwal</t>
  </si>
  <si>
    <t>Cust 7330</t>
  </si>
  <si>
    <t>Yash Gupta</t>
  </si>
  <si>
    <t>Cust 5273</t>
  </si>
  <si>
    <t>Rahul Tiwari</t>
  </si>
  <si>
    <t>Cust 6138</t>
  </si>
  <si>
    <t>Arjun Khanna</t>
  </si>
  <si>
    <t>Cust 2084</t>
  </si>
  <si>
    <t>Sakshi Sharma</t>
  </si>
  <si>
    <t>Cust 2799</t>
  </si>
  <si>
    <t>Swati Gupta</t>
  </si>
  <si>
    <t>Manish Kaur</t>
  </si>
  <si>
    <t>Cust 3051</t>
  </si>
  <si>
    <t>Shreya Reddy</t>
  </si>
  <si>
    <t>Cust 5456</t>
  </si>
  <si>
    <t>Rajat Desai</t>
  </si>
  <si>
    <t>Cust 6029</t>
  </si>
  <si>
    <t>Nisha Pandey</t>
  </si>
  <si>
    <t>Cust 4002</t>
  </si>
  <si>
    <t>Ritika Mehta</t>
  </si>
  <si>
    <t>Cust 5830</t>
  </si>
  <si>
    <t>Komal Bhat</t>
  </si>
  <si>
    <t>Cust 8088</t>
  </si>
  <si>
    <t>Sneha Pillai</t>
  </si>
  <si>
    <t>Cust 6455</t>
  </si>
  <si>
    <t>Nisha Nair</t>
  </si>
  <si>
    <t>Cust 4117</t>
  </si>
  <si>
    <t>Dhruv Menon</t>
  </si>
  <si>
    <t>Cust 1385</t>
  </si>
  <si>
    <t>Nikhil Mishra</t>
  </si>
  <si>
    <t>Cust 5185</t>
  </si>
  <si>
    <t>Neha Kapoor</t>
  </si>
  <si>
    <t>Cust 8704</t>
  </si>
  <si>
    <t>Saurabh Shah</t>
  </si>
  <si>
    <t>Cust 3528</t>
  </si>
  <si>
    <t>Sneha Mukherjee</t>
  </si>
  <si>
    <t>Cust 3907</t>
  </si>
  <si>
    <t>Divya Ghosh</t>
  </si>
  <si>
    <t>Cust 9005</t>
  </si>
  <si>
    <t>Sakshi Das</t>
  </si>
  <si>
    <t>Cust 3635</t>
  </si>
  <si>
    <t>Rishabh Sharma</t>
  </si>
  <si>
    <t>Cust 2122</t>
  </si>
  <si>
    <t>Komal Yadav</t>
  </si>
  <si>
    <t>Cust 4467</t>
  </si>
  <si>
    <t>Dev Mishra</t>
  </si>
  <si>
    <t>Cust 6146</t>
  </si>
  <si>
    <t>Aman Pillai</t>
  </si>
  <si>
    <t>Cust 4001</t>
  </si>
  <si>
    <t>Aditi Malhotra</t>
  </si>
  <si>
    <t>Cust 3365</t>
  </si>
  <si>
    <t>Arjun Kapoor</t>
  </si>
  <si>
    <t>Cust 2194</t>
  </si>
  <si>
    <t>Akash Choudhary</t>
  </si>
  <si>
    <t>Cust 7942</t>
  </si>
  <si>
    <t>Nikhil Patel</t>
  </si>
  <si>
    <t>Cust 8451</t>
  </si>
  <si>
    <t>Aarav Choudhary</t>
  </si>
  <si>
    <t>Cust 4238</t>
  </si>
  <si>
    <t>Ira Pandey</t>
  </si>
  <si>
    <t>Cust 2529</t>
  </si>
  <si>
    <t>Vivek Mishra</t>
  </si>
  <si>
    <t>Cust 7057</t>
  </si>
  <si>
    <t>Karan Mukherjee</t>
  </si>
  <si>
    <t>Cust 9069</t>
  </si>
  <si>
    <t>Manav Verma</t>
  </si>
  <si>
    <t>Cust 5858</t>
  </si>
  <si>
    <t>Swati Kumar</t>
  </si>
  <si>
    <t>Cust 2712</t>
  </si>
  <si>
    <t>Rohan Ghosh</t>
  </si>
  <si>
    <t>Cust 7052</t>
  </si>
  <si>
    <t>Rahul Reddy</t>
  </si>
  <si>
    <t>Cust 9397</t>
  </si>
  <si>
    <t>Ira Agarwal</t>
  </si>
  <si>
    <t>Cust 4614</t>
  </si>
  <si>
    <t>Rahul Yadav</t>
  </si>
  <si>
    <t>Cust 1573</t>
  </si>
  <si>
    <t>Abhishek Chatterjee</t>
  </si>
  <si>
    <t>Cust 5660</t>
  </si>
  <si>
    <t>Mohit Bhat</t>
  </si>
  <si>
    <t>Cust 3952</t>
  </si>
  <si>
    <t>Sakshi Mehta</t>
  </si>
  <si>
    <t>Cust 5407</t>
  </si>
  <si>
    <t>Komal Bose</t>
  </si>
  <si>
    <t>Cust 9595</t>
  </si>
  <si>
    <t>Sneha Bose</t>
  </si>
  <si>
    <t>Cust 3245</t>
  </si>
  <si>
    <t>Rajat Iyer</t>
  </si>
  <si>
    <t>Cust 7180</t>
  </si>
  <si>
    <t>Komal Das</t>
  </si>
  <si>
    <t>Cust 5973</t>
  </si>
  <si>
    <t>Arjun Jain</t>
  </si>
  <si>
    <t>Cust 4310</t>
  </si>
  <si>
    <t>Ritika Sen</t>
  </si>
  <si>
    <t>Cust 6243</t>
  </si>
  <si>
    <t>Swati Agarwal</t>
  </si>
  <si>
    <t>Cust 2448</t>
  </si>
  <si>
    <t>Rohan Kumar</t>
  </si>
  <si>
    <t>Cust 9386</t>
  </si>
  <si>
    <t>Ishita Yadav</t>
  </si>
  <si>
    <t>Cust 2227</t>
  </si>
  <si>
    <t>Sakshi Kulkarni</t>
  </si>
  <si>
    <t>Cust 3803</t>
  </si>
  <si>
    <t>Anushka Gupta</t>
  </si>
  <si>
    <t>Cust 1236</t>
  </si>
  <si>
    <t>Arjun Pandey</t>
  </si>
  <si>
    <t>Cust 2669</t>
  </si>
  <si>
    <t>Riya Kumar</t>
  </si>
  <si>
    <t>Cust 3746</t>
  </si>
  <si>
    <t>Dev Khanna</t>
  </si>
  <si>
    <t>Cust 9694</t>
  </si>
  <si>
    <t>Arjun Kulkarni</t>
  </si>
  <si>
    <t>Cust 4993</t>
  </si>
  <si>
    <t>Akash Singh</t>
  </si>
  <si>
    <t>Cust 1271</t>
  </si>
  <si>
    <t>Karan Iyer</t>
  </si>
  <si>
    <t>Cust 3042</t>
  </si>
  <si>
    <t>Rishabh Rao</t>
  </si>
  <si>
    <t>Cust 6424</t>
  </si>
  <si>
    <t>Priya Kaur</t>
  </si>
  <si>
    <t>Cust 1422</t>
  </si>
  <si>
    <t>Saurabh Rao</t>
  </si>
  <si>
    <t>Cust 5857</t>
  </si>
  <si>
    <t>Meera Ghosh</t>
  </si>
  <si>
    <t>Cust 6953</t>
  </si>
  <si>
    <t>Simran Gupta</t>
  </si>
  <si>
    <t>Cust 2916</t>
  </si>
  <si>
    <t>Kavya Patel</t>
  </si>
  <si>
    <t>Akash Kapoor</t>
  </si>
  <si>
    <t>Cust 8464</t>
  </si>
  <si>
    <t>Ananya Shah</t>
  </si>
  <si>
    <t>Cust 9700</t>
  </si>
  <si>
    <t>Rahul Agarwal</t>
  </si>
  <si>
    <t>Cust 7765</t>
  </si>
  <si>
    <t>Ira Mehta</t>
  </si>
  <si>
    <t>Cust 8246</t>
  </si>
  <si>
    <t>Preeti Kulkarni</t>
  </si>
  <si>
    <t>Cust 6500</t>
  </si>
  <si>
    <t>Abhishek Jain</t>
  </si>
  <si>
    <t>Cust 1150</t>
  </si>
  <si>
    <t>Gaurav Arora</t>
  </si>
  <si>
    <t>Cust 7449</t>
  </si>
  <si>
    <t>Swati Patel</t>
  </si>
  <si>
    <t>Cust 1957</t>
  </si>
  <si>
    <t>Shreya Pillai</t>
  </si>
  <si>
    <t>Cust 3467</t>
  </si>
  <si>
    <t>Nisha Khanna</t>
  </si>
  <si>
    <t>Cust 5212</t>
  </si>
  <si>
    <t>Varun Bansal</t>
  </si>
  <si>
    <t>Cust 3509</t>
  </si>
  <si>
    <t>Ritika Ghosh</t>
  </si>
  <si>
    <t>Cust 5316</t>
  </si>
  <si>
    <t>Varun Desai</t>
  </si>
  <si>
    <t>Cust 9919</t>
  </si>
  <si>
    <t>Nandini Nair</t>
  </si>
  <si>
    <t>Cust 7129</t>
  </si>
  <si>
    <t>Swati Sen</t>
  </si>
  <si>
    <t>Cust 9841</t>
  </si>
  <si>
    <t>Dev Jain</t>
  </si>
  <si>
    <t>Sakshi Bose</t>
  </si>
  <si>
    <t>Cust 4142</t>
  </si>
  <si>
    <t>Arjun Sinha</t>
  </si>
  <si>
    <t>Cust 9584</t>
  </si>
  <si>
    <t>Rishabh Das</t>
  </si>
  <si>
    <t>Cust 2553</t>
  </si>
  <si>
    <t>Komal Saxena</t>
  </si>
  <si>
    <t>Cust 1347</t>
  </si>
  <si>
    <t>Ira Kulkarni</t>
  </si>
  <si>
    <t>Cust 8305</t>
  </si>
  <si>
    <t>Manya Sen</t>
  </si>
  <si>
    <t>Cust 7015</t>
  </si>
  <si>
    <t>Kavya Agarwal</t>
  </si>
  <si>
    <t>Cust 4394</t>
  </si>
  <si>
    <t>Manav Pillai</t>
  </si>
  <si>
    <t>Cust 3323</t>
  </si>
  <si>
    <t>Vivek Menon</t>
  </si>
  <si>
    <t>Cust 4029</t>
  </si>
  <si>
    <t>Saurabh Tiwari</t>
  </si>
  <si>
    <t>Cust 1400</t>
  </si>
  <si>
    <t>Siddharth Nair</t>
  </si>
  <si>
    <t>Cust 6361</t>
  </si>
  <si>
    <t>Tanvi Iyer</t>
  </si>
  <si>
    <t>Cust 5267</t>
  </si>
  <si>
    <t>Siddharth Pillai</t>
  </si>
  <si>
    <t>Cust 9354</t>
  </si>
  <si>
    <t>Rishabh Chatterjee</t>
  </si>
  <si>
    <t>Cust 9443</t>
  </si>
  <si>
    <t>Riya Menon</t>
  </si>
  <si>
    <t>Cust 2252</t>
  </si>
  <si>
    <t>Aarav Shah</t>
  </si>
  <si>
    <t>Cust 1031</t>
  </si>
  <si>
    <t>Ira Patel</t>
  </si>
  <si>
    <t>Pallavi Rao</t>
  </si>
  <si>
    <t>Cust 1672</t>
  </si>
  <si>
    <t>Sakshi Kaur</t>
  </si>
  <si>
    <t>Cust 9313</t>
  </si>
  <si>
    <t>Aditi Sinha</t>
  </si>
  <si>
    <t>Cust 4405</t>
  </si>
  <si>
    <t>Sneha Singh</t>
  </si>
  <si>
    <t>Cust 6453</t>
  </si>
  <si>
    <t>Manav Mukherjee</t>
  </si>
  <si>
    <t>Cust 4772</t>
  </si>
  <si>
    <t>Sneha Chatterjee</t>
  </si>
  <si>
    <t>Cust 1762</t>
  </si>
  <si>
    <t>Nandini Pandey</t>
  </si>
  <si>
    <t>Cust 1865</t>
  </si>
  <si>
    <t>Harsh Chatterjee</t>
  </si>
  <si>
    <t>Cust 9552</t>
  </si>
  <si>
    <t>Kavya Mishra</t>
  </si>
  <si>
    <t>Cust 4273</t>
  </si>
  <si>
    <t>Nikhil Ghosh</t>
  </si>
  <si>
    <t>Cust 8712</t>
  </si>
  <si>
    <t>Rishabh Menon</t>
  </si>
  <si>
    <t>Cust 9048</t>
  </si>
  <si>
    <t>Shreya Bansal</t>
  </si>
  <si>
    <t>Cust 7714</t>
  </si>
  <si>
    <t>Meera Menon</t>
  </si>
  <si>
    <t>Cust 4770</t>
  </si>
  <si>
    <t>Manav Das</t>
  </si>
  <si>
    <t>Cust 2007</t>
  </si>
  <si>
    <t>Kavya Sharma</t>
  </si>
  <si>
    <t>Cust 8909</t>
  </si>
  <si>
    <t>Nandini Shah</t>
  </si>
  <si>
    <t>Cust 4196</t>
  </si>
  <si>
    <t>Rajat Jain</t>
  </si>
  <si>
    <t>Cust 4189</t>
  </si>
  <si>
    <t>Rishabh Mishra</t>
  </si>
  <si>
    <t>Cust 7226</t>
  </si>
  <si>
    <t>Ira Kumar</t>
  </si>
  <si>
    <t>Cust 5015</t>
  </si>
  <si>
    <t>Varun Choudhary</t>
  </si>
  <si>
    <t>Cust 9904</t>
  </si>
  <si>
    <t>Shreya Agarwal</t>
  </si>
  <si>
    <t>Cust 7687</t>
  </si>
  <si>
    <t>Shreya Patel</t>
  </si>
  <si>
    <t>Cust 6511</t>
  </si>
  <si>
    <t>Ritika Roy</t>
  </si>
  <si>
    <t>Cust 2412</t>
  </si>
  <si>
    <t>Ishita Pillai</t>
  </si>
  <si>
    <t>Cust 1664</t>
  </si>
  <si>
    <t>Pallavi Reddy</t>
  </si>
  <si>
    <t>Cust 6033</t>
  </si>
  <si>
    <t>Siddharth Kaur</t>
  </si>
  <si>
    <t>Cust 4019</t>
  </si>
  <si>
    <t>Pallavi Tiwari</t>
  </si>
  <si>
    <t>Cust 4515</t>
  </si>
  <si>
    <t>Akash Gupta</t>
  </si>
  <si>
    <t>Cust 7532</t>
  </si>
  <si>
    <t>Neha Das</t>
  </si>
  <si>
    <t>Cust 8756</t>
  </si>
  <si>
    <t>Vivek Gupta</t>
  </si>
  <si>
    <t>Cust 7620</t>
  </si>
  <si>
    <t>Preeti Pandey</t>
  </si>
  <si>
    <t>Cust 7368</t>
  </si>
  <si>
    <t>Manav Ghosh</t>
  </si>
  <si>
    <t>Cust 1319</t>
  </si>
  <si>
    <t>Saurabh Mukherjee</t>
  </si>
  <si>
    <t>Cust 9597</t>
  </si>
  <si>
    <t>Varun Gupta</t>
  </si>
  <si>
    <t>Cust 7369</t>
  </si>
  <si>
    <t>Mohit Khanna</t>
  </si>
  <si>
    <t>Cust 8592</t>
  </si>
  <si>
    <t>Anushka Singh</t>
  </si>
  <si>
    <t>Cust 2337</t>
  </si>
  <si>
    <t>Vikram Menon</t>
  </si>
  <si>
    <t>Rohan Singh</t>
  </si>
  <si>
    <t>Vikram Reddy</t>
  </si>
  <si>
    <t>Cust 9097</t>
  </si>
  <si>
    <t>Abhishek Desai</t>
  </si>
  <si>
    <t>Cust 5938</t>
  </si>
  <si>
    <t>Manya Kumar</t>
  </si>
  <si>
    <t>Cust 6928</t>
  </si>
  <si>
    <t>Swati Malhotra</t>
  </si>
  <si>
    <t>Cust 6223</t>
  </si>
  <si>
    <t>Mohit Tiwari</t>
  </si>
  <si>
    <t>Cust 7614</t>
  </si>
  <si>
    <t>Dev Nair</t>
  </si>
  <si>
    <t>Cust 3231</t>
  </si>
  <si>
    <t>Sneha Tiwari</t>
  </si>
  <si>
    <t>Cust 9123</t>
  </si>
  <si>
    <t>Ishita Khanna</t>
  </si>
  <si>
    <t>Cust 7054</t>
  </si>
  <si>
    <t>Pallavi Mukherjee</t>
  </si>
  <si>
    <t>Cust 4240</t>
  </si>
  <si>
    <t>Yash Agarwal</t>
  </si>
  <si>
    <t>Cust 1237</t>
  </si>
  <si>
    <t>Vivek Singh</t>
  </si>
  <si>
    <t>Cust 5513</t>
  </si>
  <si>
    <t>Simran Nair</t>
  </si>
  <si>
    <t>Cust 1835</t>
  </si>
  <si>
    <t>Yash Bhat</t>
  </si>
  <si>
    <t>Cust 8492</t>
  </si>
  <si>
    <t>Rishabh Bansal</t>
  </si>
  <si>
    <t>Cust 2451</t>
  </si>
  <si>
    <t>Sneha Ghosh</t>
  </si>
  <si>
    <t>Cust 4509</t>
  </si>
  <si>
    <t>Rahul Bansal</t>
  </si>
  <si>
    <t>Cust 6643</t>
  </si>
  <si>
    <t>Manya Desai</t>
  </si>
  <si>
    <t>Cust 2559</t>
  </si>
  <si>
    <t>Rishabh Arora</t>
  </si>
  <si>
    <t>Cust 4423</t>
  </si>
  <si>
    <t>Rishabh Pillai</t>
  </si>
  <si>
    <t>Cust 9139</t>
  </si>
  <si>
    <t>Ananya Kulkarni</t>
  </si>
  <si>
    <t>Cust 6668</t>
  </si>
  <si>
    <t>Meera Kaur</t>
  </si>
  <si>
    <t>Cust 4315</t>
  </si>
  <si>
    <t>Siddharth Verma</t>
  </si>
  <si>
    <t>Cust 8000</t>
  </si>
  <si>
    <t>Nikhil Nair</t>
  </si>
  <si>
    <t>Cust 7585</t>
  </si>
  <si>
    <t>Ira Arora</t>
  </si>
  <si>
    <t>Cust 3127</t>
  </si>
  <si>
    <t>Simran Mukherjee</t>
  </si>
  <si>
    <t>Cust 4130</t>
  </si>
  <si>
    <t>Aditya Shah</t>
  </si>
  <si>
    <t>Cust 6956</t>
  </si>
  <si>
    <t>Gaurav Khanna</t>
  </si>
  <si>
    <t>Cust 8155</t>
  </si>
  <si>
    <t>Tanvi Kapoor</t>
  </si>
  <si>
    <t>Cust 8852</t>
  </si>
  <si>
    <t>Siddharth Yadav</t>
  </si>
  <si>
    <t>Cust 2850</t>
  </si>
  <si>
    <t>Mohit Malhotra</t>
  </si>
  <si>
    <t>Cust 9572</t>
  </si>
  <si>
    <t>Saurabh Khanna</t>
  </si>
  <si>
    <t>Cust 6253</t>
  </si>
  <si>
    <t>Preeti Desai</t>
  </si>
  <si>
    <t>Cust 4154</t>
  </si>
  <si>
    <t>Harsh Joshi</t>
  </si>
  <si>
    <t>Cust 2137</t>
  </si>
  <si>
    <t>Rahul Das</t>
  </si>
  <si>
    <t>Cust 8157</t>
  </si>
  <si>
    <t>Mohit Kulkarni</t>
  </si>
  <si>
    <t>Cust 4861</t>
  </si>
  <si>
    <t>Nisha Arora</t>
  </si>
  <si>
    <t>Cust 7493</t>
  </si>
  <si>
    <t>Sneha Joshi</t>
  </si>
  <si>
    <t>Cust 7073</t>
  </si>
  <si>
    <t>Abhishek Gupta</t>
  </si>
  <si>
    <t>Cust 9085</t>
  </si>
  <si>
    <t>Siddharth Khanna</t>
  </si>
  <si>
    <t>Harsh Singh</t>
  </si>
  <si>
    <t>Cust 8504</t>
  </si>
  <si>
    <t>Tanvi Jain</t>
  </si>
  <si>
    <t>Cust 4164</t>
  </si>
  <si>
    <t>Arjun Kaur</t>
  </si>
  <si>
    <t>Cust 9592</t>
  </si>
  <si>
    <t>Rohan Bhat</t>
  </si>
  <si>
    <t>Cust 7450</t>
  </si>
  <si>
    <t>Dev Mukherjee</t>
  </si>
  <si>
    <t>Ananya Das</t>
  </si>
  <si>
    <t>Cust 3305</t>
  </si>
  <si>
    <t>Manya Bansal</t>
  </si>
  <si>
    <t>Cust 9768</t>
  </si>
  <si>
    <t>Kavya Bhat</t>
  </si>
  <si>
    <t>Cust 1179</t>
  </si>
  <si>
    <t>Kavya Singh</t>
  </si>
  <si>
    <t>Cust 2546</t>
  </si>
  <si>
    <t>Kavya Pandey</t>
  </si>
  <si>
    <t>Cust 2672</t>
  </si>
  <si>
    <t>Ananya Tiwari</t>
  </si>
  <si>
    <t>Cust 3394</t>
  </si>
  <si>
    <t>Nisha Gupta</t>
  </si>
  <si>
    <t>Cust 1649</t>
  </si>
  <si>
    <t>Aarav Mukherjee</t>
  </si>
  <si>
    <t>Cust 6994</t>
  </si>
  <si>
    <t>Saurabh Agarwal</t>
  </si>
  <si>
    <t>Cust 9879</t>
  </si>
  <si>
    <t>Rishabh Reddy</t>
  </si>
  <si>
    <t>Vikram Arora</t>
  </si>
  <si>
    <t>Cust 3712</t>
  </si>
  <si>
    <t>Abhishek Sen</t>
  </si>
  <si>
    <t>Cust 3829</t>
  </si>
  <si>
    <t>Mohit Kumar</t>
  </si>
  <si>
    <t>Cust 1623</t>
  </si>
  <si>
    <t>Akash Mehta</t>
  </si>
  <si>
    <t>Cust 3532</t>
  </si>
  <si>
    <t>Gaurav Nair</t>
  </si>
  <si>
    <t>Cust 4712</t>
  </si>
  <si>
    <t>Manav Kaur</t>
  </si>
  <si>
    <t>Cust 6211</t>
  </si>
  <si>
    <t>Akash Yadav</t>
  </si>
  <si>
    <t>Cust 1222</t>
  </si>
  <si>
    <t>Pooja Roy</t>
  </si>
  <si>
    <t>Cust 6208</t>
  </si>
  <si>
    <t>Pooja Verma</t>
  </si>
  <si>
    <t>Cust 5942</t>
  </si>
  <si>
    <t>Preeti Roy</t>
  </si>
  <si>
    <t>Cust 1745</t>
  </si>
  <si>
    <t>Karan Kumar</t>
  </si>
  <si>
    <t>Cust 2679</t>
  </si>
  <si>
    <t>Varun Menon</t>
  </si>
  <si>
    <t>Cust 9907</t>
  </si>
  <si>
    <t>Manish Kumar</t>
  </si>
  <si>
    <t>Riya Iyer</t>
  </si>
  <si>
    <t>Cust 5717</t>
  </si>
  <si>
    <t>Shreya Khanna</t>
  </si>
  <si>
    <t>Cust 7995</t>
  </si>
  <si>
    <t>Pooja Pandey</t>
  </si>
  <si>
    <t>Cust 5572</t>
  </si>
  <si>
    <t>Pallavi Chatterjee</t>
  </si>
  <si>
    <t>Cust 1721</t>
  </si>
  <si>
    <t>Nandini Reddy</t>
  </si>
  <si>
    <t>Cust 2641</t>
  </si>
  <si>
    <t>Pooja Yadav</t>
  </si>
  <si>
    <t>Cust 9769</t>
  </si>
  <si>
    <t>Varun Bhat</t>
  </si>
  <si>
    <t>Cust 1718</t>
  </si>
  <si>
    <t>Vivek Pillai</t>
  </si>
  <si>
    <t>Cust 1210</t>
  </si>
  <si>
    <t>Dev Kumar</t>
  </si>
  <si>
    <t>Cust 7710</t>
  </si>
  <si>
    <t>Vikram Bose</t>
  </si>
  <si>
    <t>Cust 1428</t>
  </si>
  <si>
    <t>Ananya Gupta</t>
  </si>
  <si>
    <t>Cust 2810</t>
  </si>
  <si>
    <t>Rahul Mehta</t>
  </si>
  <si>
    <t>Cust 2234</t>
  </si>
  <si>
    <t>Tanvi Kulkarni</t>
  </si>
  <si>
    <t>Cust 9602</t>
  </si>
  <si>
    <t>Rohan Bansal</t>
  </si>
  <si>
    <t>Dev Kulkarni</t>
  </si>
  <si>
    <t>Cust 5032</t>
  </si>
  <si>
    <t>Manav Mehta</t>
  </si>
  <si>
    <t>Cust 4297</t>
  </si>
  <si>
    <t>Pallavi Kulkarni</t>
  </si>
  <si>
    <t>Cust 6944</t>
  </si>
  <si>
    <t>Swati Chatterjee</t>
  </si>
  <si>
    <t>Cust 4136</t>
  </si>
  <si>
    <t>Divya Arora</t>
  </si>
  <si>
    <t>Cust 7460</t>
  </si>
  <si>
    <t>Kavya Das</t>
  </si>
  <si>
    <t>Cust 3960</t>
  </si>
  <si>
    <t>Ritika Bhat</t>
  </si>
  <si>
    <t>Kavya Verma</t>
  </si>
  <si>
    <t>Clothing</t>
  </si>
  <si>
    <t>REG100499</t>
  </si>
  <si>
    <t>Electronics</t>
  </si>
  <si>
    <t>REG100498</t>
  </si>
  <si>
    <t>REG100497</t>
  </si>
  <si>
    <t>Furniture</t>
  </si>
  <si>
    <t>REG100496</t>
  </si>
  <si>
    <t>REG100495</t>
  </si>
  <si>
    <t>REG100494</t>
  </si>
  <si>
    <t>REG100493</t>
  </si>
  <si>
    <t>REG100492</t>
  </si>
  <si>
    <t>REG100491</t>
  </si>
  <si>
    <t>REG100490</t>
  </si>
  <si>
    <t>REG100489</t>
  </si>
  <si>
    <t>REG100488</t>
  </si>
  <si>
    <t>REG100487</t>
  </si>
  <si>
    <t>REG100486</t>
  </si>
  <si>
    <t>REG100485</t>
  </si>
  <si>
    <t>REG100484</t>
  </si>
  <si>
    <t>REG100483</t>
  </si>
  <si>
    <t>REG100482</t>
  </si>
  <si>
    <t>REG100481</t>
  </si>
  <si>
    <t>REG100480</t>
  </si>
  <si>
    <t>REG100479</t>
  </si>
  <si>
    <t>REG100478</t>
  </si>
  <si>
    <t>REG100477</t>
  </si>
  <si>
    <t>REG100476</t>
  </si>
  <si>
    <t>REG100475</t>
  </si>
  <si>
    <t>REG100474</t>
  </si>
  <si>
    <t>REG100473</t>
  </si>
  <si>
    <t>REG100472</t>
  </si>
  <si>
    <t>REG100471</t>
  </si>
  <si>
    <t>REG100470</t>
  </si>
  <si>
    <t>REG100469</t>
  </si>
  <si>
    <t>REG100468</t>
  </si>
  <si>
    <t>REG100467</t>
  </si>
  <si>
    <t>REG100466</t>
  </si>
  <si>
    <t>REG100465</t>
  </si>
  <si>
    <t>REG100464</t>
  </si>
  <si>
    <t>REG100463</t>
  </si>
  <si>
    <t>REG100462</t>
  </si>
  <si>
    <t>REG100461</t>
  </si>
  <si>
    <t>REG100460</t>
  </si>
  <si>
    <t>REG100459</t>
  </si>
  <si>
    <t>REG100458</t>
  </si>
  <si>
    <t>REG100457</t>
  </si>
  <si>
    <t>REG100456</t>
  </si>
  <si>
    <t>REG100455</t>
  </si>
  <si>
    <t>REG100454</t>
  </si>
  <si>
    <t>REG100453</t>
  </si>
  <si>
    <t>REG100452</t>
  </si>
  <si>
    <t>REG100451</t>
  </si>
  <si>
    <t>REG100450</t>
  </si>
  <si>
    <t>REG100449</t>
  </si>
  <si>
    <t>REG100448</t>
  </si>
  <si>
    <t>REG100447</t>
  </si>
  <si>
    <t>REG100446</t>
  </si>
  <si>
    <t>REG100445</t>
  </si>
  <si>
    <t>REG100444</t>
  </si>
  <si>
    <t>REG100443</t>
  </si>
  <si>
    <t>REG100442</t>
  </si>
  <si>
    <t>REG100441</t>
  </si>
  <si>
    <t>REG100440</t>
  </si>
  <si>
    <t>REG100439</t>
  </si>
  <si>
    <t>REG100438</t>
  </si>
  <si>
    <t>REG100437</t>
  </si>
  <si>
    <t>REG100436</t>
  </si>
  <si>
    <t>REG100435</t>
  </si>
  <si>
    <t>REG100434</t>
  </si>
  <si>
    <t>REG100433</t>
  </si>
  <si>
    <t>REG100432</t>
  </si>
  <si>
    <t>REG100431</t>
  </si>
  <si>
    <t>REG100430</t>
  </si>
  <si>
    <t>REG100429</t>
  </si>
  <si>
    <t>REG100428</t>
  </si>
  <si>
    <t>REG100427</t>
  </si>
  <si>
    <t>REG100426</t>
  </si>
  <si>
    <t>REG100425</t>
  </si>
  <si>
    <t>REG100424</t>
  </si>
  <si>
    <t>REG100423</t>
  </si>
  <si>
    <t>REG100422</t>
  </si>
  <si>
    <t>REG100421</t>
  </si>
  <si>
    <t>REG100420</t>
  </si>
  <si>
    <t>REG100419</t>
  </si>
  <si>
    <t>REG100418</t>
  </si>
  <si>
    <t>REG100417</t>
  </si>
  <si>
    <t>REG100416</t>
  </si>
  <si>
    <t>REG100415</t>
  </si>
  <si>
    <t>REG100414</t>
  </si>
  <si>
    <t>REG100413</t>
  </si>
  <si>
    <t>REG100412</t>
  </si>
  <si>
    <t>REG100411</t>
  </si>
  <si>
    <t>REG100410</t>
  </si>
  <si>
    <t>REG100409</t>
  </si>
  <si>
    <t>REG100408</t>
  </si>
  <si>
    <t>REG100407</t>
  </si>
  <si>
    <t>REG100406</t>
  </si>
  <si>
    <t>REG100405</t>
  </si>
  <si>
    <t>REG100404</t>
  </si>
  <si>
    <t>REG100403</t>
  </si>
  <si>
    <t>REG100402</t>
  </si>
  <si>
    <t>REG100401</t>
  </si>
  <si>
    <t>REG100400</t>
  </si>
  <si>
    <t>REG100399</t>
  </si>
  <si>
    <t>REG100398</t>
  </si>
  <si>
    <t>REG100397</t>
  </si>
  <si>
    <t>REG100396</t>
  </si>
  <si>
    <t>REG100395</t>
  </si>
  <si>
    <t>REG100394</t>
  </si>
  <si>
    <t>REG100393</t>
  </si>
  <si>
    <t>REG100392</t>
  </si>
  <si>
    <t>REG100391</t>
  </si>
  <si>
    <t>REG100390</t>
  </si>
  <si>
    <t>REG100389</t>
  </si>
  <si>
    <t>REG100388</t>
  </si>
  <si>
    <t>REG100387</t>
  </si>
  <si>
    <t>REG100386</t>
  </si>
  <si>
    <t>REG100385</t>
  </si>
  <si>
    <t>REG100384</t>
  </si>
  <si>
    <t>REG100383</t>
  </si>
  <si>
    <t>REG100382</t>
  </si>
  <si>
    <t>REG100381</t>
  </si>
  <si>
    <t>REG100380</t>
  </si>
  <si>
    <t>REG100379</t>
  </si>
  <si>
    <t>REG100378</t>
  </si>
  <si>
    <t>REG100377</t>
  </si>
  <si>
    <t>REG100376</t>
  </si>
  <si>
    <t>REG100375</t>
  </si>
  <si>
    <t>REG100374</t>
  </si>
  <si>
    <t>REG100373</t>
  </si>
  <si>
    <t>REG100372</t>
  </si>
  <si>
    <t>REG100371</t>
  </si>
  <si>
    <t>REG100370</t>
  </si>
  <si>
    <t>REG100369</t>
  </si>
  <si>
    <t>REG100368</t>
  </si>
  <si>
    <t>REG100367</t>
  </si>
  <si>
    <t>REG100366</t>
  </si>
  <si>
    <t>REG100365</t>
  </si>
  <si>
    <t>REG100364</t>
  </si>
  <si>
    <t>REG100363</t>
  </si>
  <si>
    <t>REG100362</t>
  </si>
  <si>
    <t>REG100361</t>
  </si>
  <si>
    <t>REG100360</t>
  </si>
  <si>
    <t>REG100359</t>
  </si>
  <si>
    <t>REG100358</t>
  </si>
  <si>
    <t>REG100357</t>
  </si>
  <si>
    <t>REG100356</t>
  </si>
  <si>
    <t>REG100355</t>
  </si>
  <si>
    <t>REG100354</t>
  </si>
  <si>
    <t>REG100353</t>
  </si>
  <si>
    <t>REG100352</t>
  </si>
  <si>
    <t>REG100351</t>
  </si>
  <si>
    <t>REG100350</t>
  </si>
  <si>
    <t>REG100349</t>
  </si>
  <si>
    <t>REG100348</t>
  </si>
  <si>
    <t>REG100347</t>
  </si>
  <si>
    <t>REG100346</t>
  </si>
  <si>
    <t>REG100345</t>
  </si>
  <si>
    <t>REG100344</t>
  </si>
  <si>
    <t>REG100343</t>
  </si>
  <si>
    <t>REG100342</t>
  </si>
  <si>
    <t>REG100341</t>
  </si>
  <si>
    <t>REG100340</t>
  </si>
  <si>
    <t>REG100339</t>
  </si>
  <si>
    <t>REG100338</t>
  </si>
  <si>
    <t>REG100337</t>
  </si>
  <si>
    <t>REG100336</t>
  </si>
  <si>
    <t>REG100335</t>
  </si>
  <si>
    <t>REG100334</t>
  </si>
  <si>
    <t>REG100333</t>
  </si>
  <si>
    <t>REG100332</t>
  </si>
  <si>
    <t>REG100331</t>
  </si>
  <si>
    <t>REG100330</t>
  </si>
  <si>
    <t>REG100329</t>
  </si>
  <si>
    <t>REG100328</t>
  </si>
  <si>
    <t>REG100327</t>
  </si>
  <si>
    <t>REG100326</t>
  </si>
  <si>
    <t>REG100325</t>
  </si>
  <si>
    <t>REG100324</t>
  </si>
  <si>
    <t>REG100323</t>
  </si>
  <si>
    <t>REG100322</t>
  </si>
  <si>
    <t>REG100321</t>
  </si>
  <si>
    <t>REG100320</t>
  </si>
  <si>
    <t>REG100319</t>
  </si>
  <si>
    <t>REG100318</t>
  </si>
  <si>
    <t>REG100317</t>
  </si>
  <si>
    <t>REG100316</t>
  </si>
  <si>
    <t>REG100315</t>
  </si>
  <si>
    <t>REG100314</t>
  </si>
  <si>
    <t>REG100313</t>
  </si>
  <si>
    <t>REG100312</t>
  </si>
  <si>
    <t>REG100311</t>
  </si>
  <si>
    <t>REG100310</t>
  </si>
  <si>
    <t>REG100309</t>
  </si>
  <si>
    <t>REG100308</t>
  </si>
  <si>
    <t>REG100307</t>
  </si>
  <si>
    <t>REG100306</t>
  </si>
  <si>
    <t>REG100305</t>
  </si>
  <si>
    <t>REG100304</t>
  </si>
  <si>
    <t>REG100303</t>
  </si>
  <si>
    <t>REG100302</t>
  </si>
  <si>
    <t>REG100301</t>
  </si>
  <si>
    <t>REG100300</t>
  </si>
  <si>
    <t>REG100299</t>
  </si>
  <si>
    <t>REG100298</t>
  </si>
  <si>
    <t>REG100297</t>
  </si>
  <si>
    <t>REG100296</t>
  </si>
  <si>
    <t>REG100295</t>
  </si>
  <si>
    <t>REG100294</t>
  </si>
  <si>
    <t>REG100293</t>
  </si>
  <si>
    <t>REG100292</t>
  </si>
  <si>
    <t>REG100291</t>
  </si>
  <si>
    <t>REG100290</t>
  </si>
  <si>
    <t>REG100289</t>
  </si>
  <si>
    <t>REG100288</t>
  </si>
  <si>
    <t>REG100287</t>
  </si>
  <si>
    <t>REG100286</t>
  </si>
  <si>
    <t>REG100285</t>
  </si>
  <si>
    <t>REG100284</t>
  </si>
  <si>
    <t>REG100283</t>
  </si>
  <si>
    <t>REG100282</t>
  </si>
  <si>
    <t>REG100281</t>
  </si>
  <si>
    <t>REG100280</t>
  </si>
  <si>
    <t>REG100279</t>
  </si>
  <si>
    <t>REG100278</t>
  </si>
  <si>
    <t>REG100277</t>
  </si>
  <si>
    <t>REG100276</t>
  </si>
  <si>
    <t>REG100275</t>
  </si>
  <si>
    <t>REG100274</t>
  </si>
  <si>
    <t>REG100273</t>
  </si>
  <si>
    <t>REG100272</t>
  </si>
  <si>
    <t>REG100271</t>
  </si>
  <si>
    <t>REG100270</t>
  </si>
  <si>
    <t>REG100269</t>
  </si>
  <si>
    <t>REG100268</t>
  </si>
  <si>
    <t>REG100267</t>
  </si>
  <si>
    <t>REG100266</t>
  </si>
  <si>
    <t>REG100265</t>
  </si>
  <si>
    <t>REG100264</t>
  </si>
  <si>
    <t>REG100263</t>
  </si>
  <si>
    <t>REG100262</t>
  </si>
  <si>
    <t>REG100261</t>
  </si>
  <si>
    <t>REG100260</t>
  </si>
  <si>
    <t>REG100259</t>
  </si>
  <si>
    <t>REG100258</t>
  </si>
  <si>
    <t>REG100257</t>
  </si>
  <si>
    <t>REG100256</t>
  </si>
  <si>
    <t>REG100255</t>
  </si>
  <si>
    <t>REG100254</t>
  </si>
  <si>
    <t>REG100253</t>
  </si>
  <si>
    <t>REG100252</t>
  </si>
  <si>
    <t>REG100251</t>
  </si>
  <si>
    <t>REG100250</t>
  </si>
  <si>
    <t>REG100249</t>
  </si>
  <si>
    <t>REG100248</t>
  </si>
  <si>
    <t>REG100247</t>
  </si>
  <si>
    <t>REG100246</t>
  </si>
  <si>
    <t>REG100245</t>
  </si>
  <si>
    <t>REG100244</t>
  </si>
  <si>
    <t>REG100243</t>
  </si>
  <si>
    <t>REG100242</t>
  </si>
  <si>
    <t>REG100241</t>
  </si>
  <si>
    <t>REG100240</t>
  </si>
  <si>
    <t>REG100239</t>
  </si>
  <si>
    <t>REG100238</t>
  </si>
  <si>
    <t>REG100237</t>
  </si>
  <si>
    <t>REG100236</t>
  </si>
  <si>
    <t>REG100235</t>
  </si>
  <si>
    <t>REG100234</t>
  </si>
  <si>
    <t>REG100233</t>
  </si>
  <si>
    <t>REG100232</t>
  </si>
  <si>
    <t>REG100231</t>
  </si>
  <si>
    <t>REG100230</t>
  </si>
  <si>
    <t>REG100229</t>
  </si>
  <si>
    <t>REG100228</t>
  </si>
  <si>
    <t>REG100227</t>
  </si>
  <si>
    <t>REG100226</t>
  </si>
  <si>
    <t>REG100225</t>
  </si>
  <si>
    <t>REG100224</t>
  </si>
  <si>
    <t>REG100223</t>
  </si>
  <si>
    <t>REG100222</t>
  </si>
  <si>
    <t>REG100221</t>
  </si>
  <si>
    <t>REG100220</t>
  </si>
  <si>
    <t>REG100219</t>
  </si>
  <si>
    <t>REG100218</t>
  </si>
  <si>
    <t>REG100217</t>
  </si>
  <si>
    <t>REG100216</t>
  </si>
  <si>
    <t>REG100215</t>
  </si>
  <si>
    <t>REG100214</t>
  </si>
  <si>
    <t>REG100213</t>
  </si>
  <si>
    <t>REG100212</t>
  </si>
  <si>
    <t>REG100211</t>
  </si>
  <si>
    <t>REG100210</t>
  </si>
  <si>
    <t>REG100209</t>
  </si>
  <si>
    <t>REG100208</t>
  </si>
  <si>
    <t>REG100207</t>
  </si>
  <si>
    <t>REG100206</t>
  </si>
  <si>
    <t>REG100205</t>
  </si>
  <si>
    <t>REG100204</t>
  </si>
  <si>
    <t>REG100203</t>
  </si>
  <si>
    <t>REG100202</t>
  </si>
  <si>
    <t>REG100201</t>
  </si>
  <si>
    <t>REG100200</t>
  </si>
  <si>
    <t>REG100199</t>
  </si>
  <si>
    <t>REG100198</t>
  </si>
  <si>
    <t>REG100197</t>
  </si>
  <si>
    <t>REG100196</t>
  </si>
  <si>
    <t>REG100195</t>
  </si>
  <si>
    <t>REG100194</t>
  </si>
  <si>
    <t>REG100193</t>
  </si>
  <si>
    <t>REG100192</t>
  </si>
  <si>
    <t>REG100191</t>
  </si>
  <si>
    <t>REG100190</t>
  </si>
  <si>
    <t>REG100189</t>
  </si>
  <si>
    <t>REG100188</t>
  </si>
  <si>
    <t>REG100187</t>
  </si>
  <si>
    <t>REG100186</t>
  </si>
  <si>
    <t>REG100185</t>
  </si>
  <si>
    <t>REG100184</t>
  </si>
  <si>
    <t>REG100183</t>
  </si>
  <si>
    <t>REG100182</t>
  </si>
  <si>
    <t>REG100181</t>
  </si>
  <si>
    <t>REG100180</t>
  </si>
  <si>
    <t>REG100179</t>
  </si>
  <si>
    <t>REG100178</t>
  </si>
  <si>
    <t>REG100177</t>
  </si>
  <si>
    <t>REG100176</t>
  </si>
  <si>
    <t>REG100175</t>
  </si>
  <si>
    <t>REG100174</t>
  </si>
  <si>
    <t>REG100173</t>
  </si>
  <si>
    <t>REG100172</t>
  </si>
  <si>
    <t>REG100171</t>
  </si>
  <si>
    <t>REG100170</t>
  </si>
  <si>
    <t>REG100169</t>
  </si>
  <si>
    <t>REG100168</t>
  </si>
  <si>
    <t>REG100167</t>
  </si>
  <si>
    <t>REG100166</t>
  </si>
  <si>
    <t>REG100165</t>
  </si>
  <si>
    <t>REG100164</t>
  </si>
  <si>
    <t>REG100163</t>
  </si>
  <si>
    <t>REG100162</t>
  </si>
  <si>
    <t>REG100161</t>
  </si>
  <si>
    <t>REG100160</t>
  </si>
  <si>
    <t>REG100159</t>
  </si>
  <si>
    <t>REG100158</t>
  </si>
  <si>
    <t>REG100157</t>
  </si>
  <si>
    <t>REG100156</t>
  </si>
  <si>
    <t>REG100155</t>
  </si>
  <si>
    <t>REG100154</t>
  </si>
  <si>
    <t>REG100153</t>
  </si>
  <si>
    <t>REG100152</t>
  </si>
  <si>
    <t>REG100151</t>
  </si>
  <si>
    <t>REG100150</t>
  </si>
  <si>
    <t>REG100149</t>
  </si>
  <si>
    <t>REG100148</t>
  </si>
  <si>
    <t>REG100147</t>
  </si>
  <si>
    <t>REG100146</t>
  </si>
  <si>
    <t>REG100145</t>
  </si>
  <si>
    <t>REG100144</t>
  </si>
  <si>
    <t>REG100143</t>
  </si>
  <si>
    <t>REG100142</t>
  </si>
  <si>
    <t>REG100141</t>
  </si>
  <si>
    <t>REG100140</t>
  </si>
  <si>
    <t>REG100139</t>
  </si>
  <si>
    <t>REG100138</t>
  </si>
  <si>
    <t>REG100137</t>
  </si>
  <si>
    <t>REG100136</t>
  </si>
  <si>
    <t>REG100135</t>
  </si>
  <si>
    <t>REG100134</t>
  </si>
  <si>
    <t>REG100133</t>
  </si>
  <si>
    <t>REG100132</t>
  </si>
  <si>
    <t>REG100131</t>
  </si>
  <si>
    <t>REG100130</t>
  </si>
  <si>
    <t>REG100129</t>
  </si>
  <si>
    <t>REG100128</t>
  </si>
  <si>
    <t>REG100127</t>
  </si>
  <si>
    <t>REG100126</t>
  </si>
  <si>
    <t>REG100125</t>
  </si>
  <si>
    <t>REG100124</t>
  </si>
  <si>
    <t>REG100123</t>
  </si>
  <si>
    <t>REG100122</t>
  </si>
  <si>
    <t>REG100121</t>
  </si>
  <si>
    <t>REG100120</t>
  </si>
  <si>
    <t>REG100119</t>
  </si>
  <si>
    <t>REG100118</t>
  </si>
  <si>
    <t>REG100117</t>
  </si>
  <si>
    <t>REG100116</t>
  </si>
  <si>
    <t>REG100115</t>
  </si>
  <si>
    <t>REG100114</t>
  </si>
  <si>
    <t>REG100113</t>
  </si>
  <si>
    <t>REG100112</t>
  </si>
  <si>
    <t>REG100111</t>
  </si>
  <si>
    <t>REG100110</t>
  </si>
  <si>
    <t>REG100109</t>
  </si>
  <si>
    <t>REG100108</t>
  </si>
  <si>
    <t>REG100107</t>
  </si>
  <si>
    <t>REG100106</t>
  </si>
  <si>
    <t>REG100105</t>
  </si>
  <si>
    <t>REG100104</t>
  </si>
  <si>
    <t>REG100103</t>
  </si>
  <si>
    <t>REG100102</t>
  </si>
  <si>
    <t>REG100101</t>
  </si>
  <si>
    <t>REG100100</t>
  </si>
  <si>
    <t>REG100099</t>
  </si>
  <si>
    <t>REG100098</t>
  </si>
  <si>
    <t>REG100097</t>
  </si>
  <si>
    <t>REG100096</t>
  </si>
  <si>
    <t>REG100095</t>
  </si>
  <si>
    <t>REG100094</t>
  </si>
  <si>
    <t>REG100093</t>
  </si>
  <si>
    <t>REG100092</t>
  </si>
  <si>
    <t>REG100091</t>
  </si>
  <si>
    <t>REG100090</t>
  </si>
  <si>
    <t>REG100089</t>
  </si>
  <si>
    <t>REG100088</t>
  </si>
  <si>
    <t>REG100087</t>
  </si>
  <si>
    <t>REG100086</t>
  </si>
  <si>
    <t>REG100085</t>
  </si>
  <si>
    <t>REG100084</t>
  </si>
  <si>
    <t>REG100083</t>
  </si>
  <si>
    <t>REG100082</t>
  </si>
  <si>
    <t>REG100081</t>
  </si>
  <si>
    <t>REG100080</t>
  </si>
  <si>
    <t>REG100079</t>
  </si>
  <si>
    <t>REG100078</t>
  </si>
  <si>
    <t>REG100077</t>
  </si>
  <si>
    <t>REG100076</t>
  </si>
  <si>
    <t>REG100075</t>
  </si>
  <si>
    <t>REG100074</t>
  </si>
  <si>
    <t>REG100073</t>
  </si>
  <si>
    <t>REG100072</t>
  </si>
  <si>
    <t>REG100071</t>
  </si>
  <si>
    <t>REG100070</t>
  </si>
  <si>
    <t>REG100069</t>
  </si>
  <si>
    <t>REG100068</t>
  </si>
  <si>
    <t>REG100067</t>
  </si>
  <si>
    <t>REG100066</t>
  </si>
  <si>
    <t>REG100065</t>
  </si>
  <si>
    <t>REG100064</t>
  </si>
  <si>
    <t>REG100063</t>
  </si>
  <si>
    <t>REG100062</t>
  </si>
  <si>
    <t>REG100061</t>
  </si>
  <si>
    <t>REG100060</t>
  </si>
  <si>
    <t>REG100059</t>
  </si>
  <si>
    <t>REG100058</t>
  </si>
  <si>
    <t>REG100057</t>
  </si>
  <si>
    <t>REG100056</t>
  </si>
  <si>
    <t>REG100055</t>
  </si>
  <si>
    <t>REG100054</t>
  </si>
  <si>
    <t>REG100053</t>
  </si>
  <si>
    <t>REG100052</t>
  </si>
  <si>
    <t>REG100051</t>
  </si>
  <si>
    <t>REG100050</t>
  </si>
  <si>
    <t>REG100049</t>
  </si>
  <si>
    <t>REG100048</t>
  </si>
  <si>
    <t>REG100047</t>
  </si>
  <si>
    <t>REG100046</t>
  </si>
  <si>
    <t>REG100045</t>
  </si>
  <si>
    <t>REG100044</t>
  </si>
  <si>
    <t>REG100043</t>
  </si>
  <si>
    <t>REG100042</t>
  </si>
  <si>
    <t>REG100041</t>
  </si>
  <si>
    <t>REG100040</t>
  </si>
  <si>
    <t>REG100039</t>
  </si>
  <si>
    <t>REG100038</t>
  </si>
  <si>
    <t>REG100037</t>
  </si>
  <si>
    <t>REG100036</t>
  </si>
  <si>
    <t>REG100035</t>
  </si>
  <si>
    <t>REG100034</t>
  </si>
  <si>
    <t>REG100033</t>
  </si>
  <si>
    <t>REG100032</t>
  </si>
  <si>
    <t>REG100031</t>
  </si>
  <si>
    <t>REG100030</t>
  </si>
  <si>
    <t>REG100029</t>
  </si>
  <si>
    <t>REG100028</t>
  </si>
  <si>
    <t>REG100027</t>
  </si>
  <si>
    <t>REG100026</t>
  </si>
  <si>
    <t>REG100025</t>
  </si>
  <si>
    <t>REG100024</t>
  </si>
  <si>
    <t>REG100023</t>
  </si>
  <si>
    <t>REG100022</t>
  </si>
  <si>
    <t>REG100021</t>
  </si>
  <si>
    <t>REG100020</t>
  </si>
  <si>
    <t>REG100019</t>
  </si>
  <si>
    <t>REG100018</t>
  </si>
  <si>
    <t>REG100017</t>
  </si>
  <si>
    <t>REG100016</t>
  </si>
  <si>
    <t>REG100015</t>
  </si>
  <si>
    <t>REG100014</t>
  </si>
  <si>
    <t>REG100013</t>
  </si>
  <si>
    <t>REG100012</t>
  </si>
  <si>
    <t>REG100011</t>
  </si>
  <si>
    <t>REG100010</t>
  </si>
  <si>
    <t>REG100009</t>
  </si>
  <si>
    <t>REG100008</t>
  </si>
  <si>
    <t>REG100007</t>
  </si>
  <si>
    <t>REG100006</t>
  </si>
  <si>
    <t>REG100005</t>
  </si>
  <si>
    <t>REG100004</t>
  </si>
  <si>
    <t>REG100003</t>
  </si>
  <si>
    <t>REG100002</t>
  </si>
  <si>
    <t>REG100001</t>
  </si>
  <si>
    <t>REG100000</t>
  </si>
  <si>
    <t>Discount</t>
  </si>
  <si>
    <t>Profit</t>
  </si>
  <si>
    <t>Quantity</t>
  </si>
  <si>
    <t>Sales</t>
  </si>
  <si>
    <t>Product_Category</t>
  </si>
  <si>
    <t>Order_Date</t>
  </si>
  <si>
    <t>Order_ID</t>
  </si>
  <si>
    <t>Month</t>
  </si>
  <si>
    <t>Current_Sales</t>
  </si>
  <si>
    <t>Previous_Sales</t>
  </si>
  <si>
    <t>Current_Month_Sales</t>
  </si>
  <si>
    <t>Previous_Month_Sales</t>
  </si>
  <si>
    <t>Sales Variance</t>
  </si>
  <si>
    <t>Growth%</t>
  </si>
  <si>
    <t>Profit Margin</t>
  </si>
  <si>
    <t>Revenue_Contribution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</si>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</sst>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9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yyyy/mm/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0D085B-693D-40CE-9C6A-DA4A83E07554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Region" tableColumnId="3"/>
      <queryTableField id="4" name="Seg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16857-C126-4864-ABCB-19C7626AB7AA}" name="Table1" displayName="Table1" ref="A1:D501" tableType="queryTable" totalsRowShown="0">
  <autoFilter ref="A1:D501" xr:uid="{07416857-C126-4864-ABCB-19C7626AB7AA}"/>
  <tableColumns count="4">
    <tableColumn id="1" xr3:uid="{DD601A23-500D-4588-A29A-C507B6987772}" uniqueName="1" name="Customer_ID" queryTableFieldId="1" dataDxfId="14"/>
    <tableColumn id="2" xr3:uid="{527259FE-A2C1-48B5-B9D3-64A2BD580D44}" uniqueName="2" name="Customer_Name" queryTableFieldId="2" dataDxfId="13"/>
    <tableColumn id="3" xr3:uid="{D4EFF402-E33F-4770-8164-C13BFD430F4B}" uniqueName="3" name="Region" queryTableFieldId="3" dataDxfId="12"/>
    <tableColumn id="4" xr3:uid="{2055D212-9D2A-4366-8910-D5209C38D095}" uniqueName="4" name="Segment" queryTableFieldId="4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AF06E6-C71F-4C5E-A3BA-FE7A7DFC4808}" name="Table13" displayName="Table13" ref="A1:K501" totalsRowShown="0" headerRowDxfId="10">
  <autoFilter ref="A1:K501" xr:uid="{766D823F-AE37-4ED4-AAD8-7AF9BF907744}"/>
  <tableColumns count="11">
    <tableColumn id="1" xr3:uid="{E4987267-7FD9-4201-895D-A5ED2D295AD2}" name="Order_ID"/>
    <tableColumn id="2" xr3:uid="{7DE3387F-23E5-4265-B306-90668D44D366}" name="Order_Date" dataDxfId="9"/>
    <tableColumn id="3" xr3:uid="{BC85BEA0-871D-4A23-B1D4-EB22640C6898}" name="Customer_ID"/>
    <tableColumn id="5" xr3:uid="{42F7FCB5-B587-4A82-B312-57A45D17853A}" name="Product_Category"/>
    <tableColumn id="6" xr3:uid="{D86C50A1-D303-4E4E-A592-CA7E824B2306}" name="Sales"/>
    <tableColumn id="7" xr3:uid="{E138AFF1-B660-450C-913D-ABD4ABB725AB}" name="Quantity"/>
    <tableColumn id="8" xr3:uid="{2ED9CA54-D605-41E3-8E61-1A38A81ADBCE}" name="Profit"/>
    <tableColumn id="9" xr3:uid="{1BA1520F-FB58-4FEB-82B3-9A414645CBB4}" name="Discount"/>
    <tableColumn id="11" xr3:uid="{7F1916E0-1497-4D1B-8780-B44625FAE482}" name="Region" dataDxfId="8">
      <calculatedColumnFormula>VLOOKUP(C2,Table1[#All],3,FALSE)</calculatedColumnFormula>
    </tableColumn>
    <tableColumn id="12" xr3:uid="{2393CE52-DC62-4572-921B-390FFD1485A2}" name="Segment" dataDxfId="7">
      <calculatedColumnFormula>VLOOKUP(C2,Table1[#All],4,FALSE)</calculatedColumnFormula>
    </tableColumn>
    <tableColumn id="13" xr3:uid="{FC8C91AA-D2DC-4FE4-879B-B6ED378E4D12}" name="Month" dataDxfId="6">
      <calculatedColumnFormula>TEXT(Table13[[#This Row],[Order_Date]],"mmm-yyyy")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0AB541-A9BB-4FDA-86B9-EE3BE764A2DF}" name="Table3" displayName="Table3" ref="A1:E501" totalsRowShown="0">
  <autoFilter ref="A1:E501" xr:uid="{EA0AB541-A9BB-4FDA-86B9-EE3BE764A2DF}"/>
  <tableColumns count="5">
    <tableColumn id="1" xr3:uid="{FFEDA781-CF40-4E2E-9AEB-A3A1A5F8711A}" name="Month">
      <calculatedColumnFormula>TEXT(Table13[[#This Row],[Order_Date]],"mmm-yyyy")</calculatedColumnFormula>
    </tableColumn>
    <tableColumn id="2" xr3:uid="{0F0113AB-3449-4A7E-A177-1000491737EC}" name="Current_Month_Sales">
      <calculatedColumnFormula>SUMIF(Orders!K:K,A2,Orders!E:E)</calculatedColumnFormula>
    </tableColumn>
    <tableColumn id="3" xr3:uid="{984A7FEF-BC55-4994-AF3B-5C95CE7112AA}" name="Previous_Month_Sales">
      <calculatedColumnFormula>B1</calculatedColumnFormula>
    </tableColumn>
    <tableColumn id="4" xr3:uid="{79BB8719-51DF-4B90-A97A-0129E54202E8}" name="Sales Variance">
      <calculatedColumnFormula>B2-C2</calculatedColumnFormula>
    </tableColumn>
    <tableColumn id="5" xr3:uid="{E928A7A9-2CE8-411E-A22A-6A9336914AC4}" name="Growth%">
      <calculatedColumnFormula>IF(C2=0,0,(D2/C2)*100)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FFCB99-7BF2-45C2-AC72-2FC10CE875F5}" name="Table4" displayName="Table4" ref="A1:D6" totalsRowShown="0">
  <autoFilter ref="A1:D6" xr:uid="{57FFCB99-7BF2-45C2-AC72-2FC10CE875F5}"/>
  <tableColumns count="4">
    <tableColumn id="1" xr3:uid="{F13A940D-A2F5-4EB6-B8DB-F46C4BF402EF}" name="Region"/>
    <tableColumn id="2" xr3:uid="{1B835F4F-0604-49BC-B578-F62AC31D991A}" name="Sales">
      <calculatedColumnFormula>SUMIF(Orders!I:I,A2,Orders!E:E)</calculatedColumnFormula>
    </tableColumn>
    <tableColumn id="3" xr3:uid="{C9073532-0C5A-4035-981A-7E59963BA4DE}" name="Profit">
      <calculatedColumnFormula>SUMIF(Orders!I:I,A2,Orders!G:G)</calculatedColumnFormula>
    </tableColumn>
    <tableColumn id="4" xr3:uid="{9C86EB6B-4BB8-490F-BAC1-3C739E2C45D3}" name="Profit Margin" dataDxfId="5" dataCellStyle="Percent">
      <calculatedColumnFormula>IF(B2=0,0,C2/B2)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B2DC45-5371-4F0D-B4E7-7E63FC4315AE}" name="Table5" displayName="Table5" ref="A1:D4" totalsRowShown="0">
  <autoFilter ref="A1:D4" xr:uid="{9CB2DC45-5371-4F0D-B4E7-7E63FC4315AE}"/>
  <tableColumns count="4">
    <tableColumn id="1" xr3:uid="{1BB8CAE0-DA33-4F9E-91C2-AE8EE32C27FB}" name="Product_Category"/>
    <tableColumn id="2" xr3:uid="{753A0B20-2724-489B-A1F2-8C026ED1577B}" name="Current_Sales" dataDxfId="3">
      <calculatedColumnFormula>SUMIF(Orders!D:D,A2,'Monthly Sales Performance'!B:B)</calculatedColumnFormula>
    </tableColumn>
    <tableColumn id="3" xr3:uid="{D72A3752-CBEA-44F0-A0B0-01C174B2FADE}" name="Previous_Sales" dataDxfId="4">
      <calculatedColumnFormula>SUMIF(Orders!D:D,A2,Orders!E:E)</calculatedColumnFormula>
    </tableColumn>
    <tableColumn id="4" xr3:uid="{C00A7AD0-5B4A-417F-B5DA-8D749CB88266}" name="Growth%" dataDxfId="2" dataCellStyle="Percent">
      <calculatedColumnFormula>INDEX(Table3[#All],MATCH(A2,Table13[#All],0))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675AD8-0F74-49E7-B55C-7FDF2B8E6F0C}" name="Table6" displayName="Table6" ref="A1:C4" totalsRowShown="0">
  <autoFilter ref="A1:C4" xr:uid="{17675AD8-0F74-49E7-B55C-7FDF2B8E6F0C}"/>
  <tableColumns count="3">
    <tableColumn id="1" xr3:uid="{D33BB5E8-E691-4249-8A83-88B9D07C592A}" name="Segment"/>
    <tableColumn id="2" xr3:uid="{391B2691-7F4B-4B27-B799-A879A9DFEF2D}" name="Revenue" dataDxfId="1" dataCellStyle="Percent">
      <calculatedColumnFormula>SUMIF(Table13[Segment],A2,Table13[Sales])</calculatedColumnFormula>
    </tableColumn>
    <tableColumn id="3" xr3:uid="{0442C980-FF0B-421B-88F5-4E5F8D8C28CA}" name="Revenue_Contribution" dataDxfId="0" dataCellStyle="Percent">
      <calculatedColumnFormula>B2/SUM(B2:B4)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1441-62F7-44D3-8EC0-416E3CBBF0E2}">
  <dimension ref="A1:D501"/>
  <sheetViews>
    <sheetView workbookViewId="0">
      <selection activeCell="J7" sqref="J7"/>
    </sheetView>
  </sheetViews>
  <sheetFormatPr defaultRowHeight="14.4" x14ac:dyDescent="0.3"/>
  <cols>
    <col min="1" max="1" width="14.109375" bestFit="1" customWidth="1"/>
    <col min="2" max="2" width="17.5546875" bestFit="1" customWidth="1"/>
    <col min="3" max="3" width="12.88671875" bestFit="1" customWidth="1"/>
    <col min="4" max="4" width="1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11</v>
      </c>
    </row>
    <row r="5" spans="1:4" x14ac:dyDescent="0.3">
      <c r="A5" t="s">
        <v>15</v>
      </c>
      <c r="B5" t="s">
        <v>16</v>
      </c>
      <c r="C5" t="s">
        <v>17</v>
      </c>
      <c r="D5" t="s">
        <v>11</v>
      </c>
    </row>
    <row r="6" spans="1:4" x14ac:dyDescent="0.3">
      <c r="A6" t="s">
        <v>18</v>
      </c>
      <c r="B6" t="s">
        <v>19</v>
      </c>
      <c r="C6" t="s">
        <v>6</v>
      </c>
      <c r="D6" t="s">
        <v>7</v>
      </c>
    </row>
    <row r="7" spans="1:4" x14ac:dyDescent="0.3">
      <c r="A7" t="s">
        <v>20</v>
      </c>
      <c r="B7" t="s">
        <v>21</v>
      </c>
      <c r="C7" t="s">
        <v>17</v>
      </c>
      <c r="D7" t="s">
        <v>11</v>
      </c>
    </row>
    <row r="8" spans="1:4" x14ac:dyDescent="0.3">
      <c r="A8" t="s">
        <v>22</v>
      </c>
      <c r="B8" t="s">
        <v>23</v>
      </c>
      <c r="C8" t="s">
        <v>10</v>
      </c>
      <c r="D8" t="s">
        <v>11</v>
      </c>
    </row>
    <row r="9" spans="1:4" x14ac:dyDescent="0.3">
      <c r="A9" t="s">
        <v>24</v>
      </c>
      <c r="B9" t="s">
        <v>25</v>
      </c>
      <c r="C9" t="s">
        <v>17</v>
      </c>
      <c r="D9" t="s">
        <v>11</v>
      </c>
    </row>
    <row r="10" spans="1:4" x14ac:dyDescent="0.3">
      <c r="A10" t="s">
        <v>26</v>
      </c>
      <c r="B10" t="s">
        <v>27</v>
      </c>
      <c r="C10" t="s">
        <v>10</v>
      </c>
      <c r="D10" t="s">
        <v>28</v>
      </c>
    </row>
    <row r="11" spans="1:4" x14ac:dyDescent="0.3">
      <c r="A11" t="s">
        <v>29</v>
      </c>
      <c r="B11" t="s">
        <v>30</v>
      </c>
      <c r="C11" t="s">
        <v>31</v>
      </c>
      <c r="D11" t="s">
        <v>28</v>
      </c>
    </row>
    <row r="12" spans="1:4" x14ac:dyDescent="0.3">
      <c r="A12" t="s">
        <v>32</v>
      </c>
      <c r="B12" t="s">
        <v>33</v>
      </c>
      <c r="C12" t="s">
        <v>14</v>
      </c>
      <c r="D12" t="s">
        <v>11</v>
      </c>
    </row>
    <row r="13" spans="1:4" x14ac:dyDescent="0.3">
      <c r="A13" t="s">
        <v>34</v>
      </c>
      <c r="B13" t="s">
        <v>35</v>
      </c>
      <c r="C13" t="s">
        <v>6</v>
      </c>
      <c r="D13" t="s">
        <v>28</v>
      </c>
    </row>
    <row r="14" spans="1:4" x14ac:dyDescent="0.3">
      <c r="A14" t="s">
        <v>36</v>
      </c>
      <c r="B14" t="s">
        <v>37</v>
      </c>
      <c r="C14" t="s">
        <v>17</v>
      </c>
      <c r="D14" t="s">
        <v>11</v>
      </c>
    </row>
    <row r="15" spans="1:4" x14ac:dyDescent="0.3">
      <c r="A15" t="s">
        <v>38</v>
      </c>
      <c r="B15" t="s">
        <v>39</v>
      </c>
      <c r="C15" t="s">
        <v>31</v>
      </c>
      <c r="D15" t="s">
        <v>28</v>
      </c>
    </row>
    <row r="16" spans="1:4" x14ac:dyDescent="0.3">
      <c r="A16" t="s">
        <v>40</v>
      </c>
      <c r="B16" t="s">
        <v>41</v>
      </c>
      <c r="C16" t="s">
        <v>14</v>
      </c>
      <c r="D16" t="s">
        <v>7</v>
      </c>
    </row>
    <row r="17" spans="1:4" x14ac:dyDescent="0.3">
      <c r="A17" t="s">
        <v>42</v>
      </c>
      <c r="B17" t="s">
        <v>43</v>
      </c>
      <c r="C17" t="s">
        <v>31</v>
      </c>
      <c r="D17" t="s">
        <v>7</v>
      </c>
    </row>
    <row r="18" spans="1:4" x14ac:dyDescent="0.3">
      <c r="A18" t="s">
        <v>44</v>
      </c>
      <c r="B18" t="s">
        <v>45</v>
      </c>
      <c r="C18" t="s">
        <v>31</v>
      </c>
      <c r="D18" t="s">
        <v>11</v>
      </c>
    </row>
    <row r="19" spans="1:4" x14ac:dyDescent="0.3">
      <c r="A19" t="s">
        <v>46</v>
      </c>
      <c r="B19" t="s">
        <v>47</v>
      </c>
      <c r="C19" t="s">
        <v>17</v>
      </c>
      <c r="D19" t="s">
        <v>28</v>
      </c>
    </row>
    <row r="20" spans="1:4" x14ac:dyDescent="0.3">
      <c r="A20" t="s">
        <v>48</v>
      </c>
      <c r="B20" t="s">
        <v>49</v>
      </c>
      <c r="C20" t="s">
        <v>6</v>
      </c>
      <c r="D20" t="s">
        <v>28</v>
      </c>
    </row>
    <row r="21" spans="1:4" x14ac:dyDescent="0.3">
      <c r="A21" t="s">
        <v>50</v>
      </c>
      <c r="B21" t="s">
        <v>51</v>
      </c>
      <c r="C21" t="s">
        <v>31</v>
      </c>
      <c r="D21" t="s">
        <v>7</v>
      </c>
    </row>
    <row r="22" spans="1:4" x14ac:dyDescent="0.3">
      <c r="A22" t="s">
        <v>52</v>
      </c>
      <c r="B22" t="s">
        <v>53</v>
      </c>
      <c r="C22" t="s">
        <v>31</v>
      </c>
      <c r="D22" t="s">
        <v>7</v>
      </c>
    </row>
    <row r="23" spans="1:4" x14ac:dyDescent="0.3">
      <c r="A23" t="s">
        <v>54</v>
      </c>
      <c r="B23" t="s">
        <v>55</v>
      </c>
      <c r="C23" t="s">
        <v>17</v>
      </c>
      <c r="D23" t="s">
        <v>11</v>
      </c>
    </row>
    <row r="24" spans="1:4" x14ac:dyDescent="0.3">
      <c r="A24" t="s">
        <v>56</v>
      </c>
      <c r="B24" t="s">
        <v>57</v>
      </c>
      <c r="C24" t="s">
        <v>14</v>
      </c>
      <c r="D24" t="s">
        <v>7</v>
      </c>
    </row>
    <row r="25" spans="1:4" x14ac:dyDescent="0.3">
      <c r="A25" t="s">
        <v>58</v>
      </c>
      <c r="B25" t="s">
        <v>59</v>
      </c>
      <c r="C25" t="s">
        <v>17</v>
      </c>
      <c r="D25" t="s">
        <v>7</v>
      </c>
    </row>
    <row r="26" spans="1:4" x14ac:dyDescent="0.3">
      <c r="A26" t="s">
        <v>60</v>
      </c>
      <c r="B26" t="s">
        <v>61</v>
      </c>
      <c r="C26" t="s">
        <v>14</v>
      </c>
      <c r="D26" t="s">
        <v>11</v>
      </c>
    </row>
    <row r="27" spans="1:4" x14ac:dyDescent="0.3">
      <c r="A27" t="s">
        <v>62</v>
      </c>
      <c r="B27" t="s">
        <v>63</v>
      </c>
      <c r="C27" t="s">
        <v>6</v>
      </c>
      <c r="D27" t="s">
        <v>11</v>
      </c>
    </row>
    <row r="28" spans="1:4" x14ac:dyDescent="0.3">
      <c r="A28" t="s">
        <v>64</v>
      </c>
      <c r="B28" t="s">
        <v>65</v>
      </c>
      <c r="C28" t="s">
        <v>31</v>
      </c>
      <c r="D28" t="s">
        <v>11</v>
      </c>
    </row>
    <row r="29" spans="1:4" x14ac:dyDescent="0.3">
      <c r="A29" t="s">
        <v>66</v>
      </c>
      <c r="B29" t="s">
        <v>67</v>
      </c>
      <c r="C29" t="s">
        <v>14</v>
      </c>
      <c r="D29" t="s">
        <v>7</v>
      </c>
    </row>
    <row r="30" spans="1:4" x14ac:dyDescent="0.3">
      <c r="A30" t="s">
        <v>68</v>
      </c>
      <c r="B30" t="s">
        <v>69</v>
      </c>
      <c r="C30" t="s">
        <v>10</v>
      </c>
      <c r="D30" t="s">
        <v>11</v>
      </c>
    </row>
    <row r="31" spans="1:4" x14ac:dyDescent="0.3">
      <c r="A31" t="s">
        <v>70</v>
      </c>
      <c r="B31" t="s">
        <v>71</v>
      </c>
      <c r="C31" t="s">
        <v>17</v>
      </c>
      <c r="D31" t="s">
        <v>28</v>
      </c>
    </row>
    <row r="32" spans="1:4" x14ac:dyDescent="0.3">
      <c r="A32" t="s">
        <v>72</v>
      </c>
      <c r="B32" t="s">
        <v>73</v>
      </c>
      <c r="C32" t="s">
        <v>14</v>
      </c>
      <c r="D32" t="s">
        <v>7</v>
      </c>
    </row>
    <row r="33" spans="1:4" x14ac:dyDescent="0.3">
      <c r="A33" t="s">
        <v>74</v>
      </c>
      <c r="B33" t="s">
        <v>75</v>
      </c>
      <c r="C33" t="s">
        <v>14</v>
      </c>
      <c r="D33" t="s">
        <v>11</v>
      </c>
    </row>
    <row r="34" spans="1:4" x14ac:dyDescent="0.3">
      <c r="A34" t="s">
        <v>76</v>
      </c>
      <c r="B34" t="s">
        <v>77</v>
      </c>
      <c r="C34" t="s">
        <v>10</v>
      </c>
      <c r="D34" t="s">
        <v>11</v>
      </c>
    </row>
    <row r="35" spans="1:4" x14ac:dyDescent="0.3">
      <c r="A35" t="s">
        <v>78</v>
      </c>
      <c r="B35" t="s">
        <v>79</v>
      </c>
      <c r="C35" t="s">
        <v>17</v>
      </c>
      <c r="D35" t="s">
        <v>7</v>
      </c>
    </row>
    <row r="36" spans="1:4" x14ac:dyDescent="0.3">
      <c r="A36" t="s">
        <v>80</v>
      </c>
      <c r="B36" t="s">
        <v>81</v>
      </c>
      <c r="C36" t="s">
        <v>14</v>
      </c>
      <c r="D36" t="s">
        <v>28</v>
      </c>
    </row>
    <row r="37" spans="1:4" x14ac:dyDescent="0.3">
      <c r="A37" t="s">
        <v>82</v>
      </c>
      <c r="B37" t="s">
        <v>83</v>
      </c>
      <c r="C37" t="s">
        <v>14</v>
      </c>
      <c r="D37" t="s">
        <v>7</v>
      </c>
    </row>
    <row r="38" spans="1:4" x14ac:dyDescent="0.3">
      <c r="A38" t="s">
        <v>84</v>
      </c>
      <c r="B38" t="s">
        <v>85</v>
      </c>
      <c r="C38" t="s">
        <v>17</v>
      </c>
      <c r="D38" t="s">
        <v>7</v>
      </c>
    </row>
    <row r="39" spans="1:4" x14ac:dyDescent="0.3">
      <c r="A39" t="s">
        <v>86</v>
      </c>
      <c r="B39" t="s">
        <v>87</v>
      </c>
      <c r="C39" t="s">
        <v>10</v>
      </c>
      <c r="D39" t="s">
        <v>28</v>
      </c>
    </row>
    <row r="40" spans="1:4" x14ac:dyDescent="0.3">
      <c r="A40" t="s">
        <v>88</v>
      </c>
      <c r="B40" t="s">
        <v>89</v>
      </c>
      <c r="C40" t="s">
        <v>17</v>
      </c>
      <c r="D40" t="s">
        <v>28</v>
      </c>
    </row>
    <row r="41" spans="1:4" x14ac:dyDescent="0.3">
      <c r="A41" t="s">
        <v>90</v>
      </c>
      <c r="B41" t="s">
        <v>91</v>
      </c>
      <c r="C41" t="s">
        <v>17</v>
      </c>
      <c r="D41" t="s">
        <v>11</v>
      </c>
    </row>
    <row r="42" spans="1:4" x14ac:dyDescent="0.3">
      <c r="A42" t="s">
        <v>92</v>
      </c>
      <c r="B42" t="s">
        <v>93</v>
      </c>
      <c r="C42" t="s">
        <v>10</v>
      </c>
      <c r="D42" t="s">
        <v>11</v>
      </c>
    </row>
    <row r="43" spans="1:4" x14ac:dyDescent="0.3">
      <c r="A43" t="s">
        <v>94</v>
      </c>
      <c r="B43" t="s">
        <v>95</v>
      </c>
      <c r="C43" t="s">
        <v>17</v>
      </c>
      <c r="D43" t="s">
        <v>7</v>
      </c>
    </row>
    <row r="44" spans="1:4" x14ac:dyDescent="0.3">
      <c r="A44" t="s">
        <v>96</v>
      </c>
      <c r="B44" t="s">
        <v>97</v>
      </c>
      <c r="C44" t="s">
        <v>10</v>
      </c>
      <c r="D44" t="s">
        <v>11</v>
      </c>
    </row>
    <row r="45" spans="1:4" x14ac:dyDescent="0.3">
      <c r="A45" t="s">
        <v>98</v>
      </c>
      <c r="B45" t="s">
        <v>99</v>
      </c>
      <c r="C45" t="s">
        <v>17</v>
      </c>
      <c r="D45" t="s">
        <v>7</v>
      </c>
    </row>
    <row r="46" spans="1:4" x14ac:dyDescent="0.3">
      <c r="A46" t="s">
        <v>100</v>
      </c>
      <c r="B46" t="s">
        <v>101</v>
      </c>
      <c r="C46" t="s">
        <v>10</v>
      </c>
      <c r="D46" t="s">
        <v>28</v>
      </c>
    </row>
    <row r="47" spans="1:4" x14ac:dyDescent="0.3">
      <c r="A47" t="s">
        <v>102</v>
      </c>
      <c r="B47" t="s">
        <v>103</v>
      </c>
      <c r="C47" t="s">
        <v>10</v>
      </c>
      <c r="D47" t="s">
        <v>28</v>
      </c>
    </row>
    <row r="48" spans="1:4" x14ac:dyDescent="0.3">
      <c r="A48" t="s">
        <v>104</v>
      </c>
      <c r="B48" t="s">
        <v>105</v>
      </c>
      <c r="C48" t="s">
        <v>31</v>
      </c>
      <c r="D48" t="s">
        <v>7</v>
      </c>
    </row>
    <row r="49" spans="1:4" x14ac:dyDescent="0.3">
      <c r="A49" t="s">
        <v>106</v>
      </c>
      <c r="B49" t="s">
        <v>107</v>
      </c>
      <c r="C49" t="s">
        <v>6</v>
      </c>
      <c r="D49" t="s">
        <v>11</v>
      </c>
    </row>
    <row r="50" spans="1:4" x14ac:dyDescent="0.3">
      <c r="A50" t="s">
        <v>108</v>
      </c>
      <c r="B50" t="s">
        <v>109</v>
      </c>
      <c r="C50" t="s">
        <v>14</v>
      </c>
      <c r="D50" t="s">
        <v>11</v>
      </c>
    </row>
    <row r="51" spans="1:4" x14ac:dyDescent="0.3">
      <c r="A51" t="s">
        <v>110</v>
      </c>
      <c r="B51" t="s">
        <v>111</v>
      </c>
      <c r="C51" t="s">
        <v>31</v>
      </c>
      <c r="D51" t="s">
        <v>11</v>
      </c>
    </row>
    <row r="52" spans="1:4" x14ac:dyDescent="0.3">
      <c r="A52" t="s">
        <v>112</v>
      </c>
      <c r="B52" t="s">
        <v>113</v>
      </c>
      <c r="C52" t="s">
        <v>6</v>
      </c>
      <c r="D52" t="s">
        <v>28</v>
      </c>
    </row>
    <row r="53" spans="1:4" x14ac:dyDescent="0.3">
      <c r="A53" t="s">
        <v>114</v>
      </c>
      <c r="B53" t="s">
        <v>115</v>
      </c>
      <c r="C53" t="s">
        <v>31</v>
      </c>
      <c r="D53" t="s">
        <v>7</v>
      </c>
    </row>
    <row r="54" spans="1:4" x14ac:dyDescent="0.3">
      <c r="A54" t="s">
        <v>116</v>
      </c>
      <c r="B54" t="s">
        <v>117</v>
      </c>
      <c r="C54" t="s">
        <v>10</v>
      </c>
      <c r="D54" t="s">
        <v>28</v>
      </c>
    </row>
    <row r="55" spans="1:4" x14ac:dyDescent="0.3">
      <c r="A55" t="s">
        <v>118</v>
      </c>
      <c r="B55" t="s">
        <v>119</v>
      </c>
      <c r="C55" t="s">
        <v>10</v>
      </c>
      <c r="D55" t="s">
        <v>11</v>
      </c>
    </row>
    <row r="56" spans="1:4" x14ac:dyDescent="0.3">
      <c r="A56" t="s">
        <v>120</v>
      </c>
      <c r="B56" t="s">
        <v>121</v>
      </c>
      <c r="C56" t="s">
        <v>31</v>
      </c>
      <c r="D56" t="s">
        <v>11</v>
      </c>
    </row>
    <row r="57" spans="1:4" x14ac:dyDescent="0.3">
      <c r="A57" t="s">
        <v>122</v>
      </c>
      <c r="B57" t="s">
        <v>123</v>
      </c>
      <c r="C57" t="s">
        <v>17</v>
      </c>
      <c r="D57" t="s">
        <v>7</v>
      </c>
    </row>
    <row r="58" spans="1:4" x14ac:dyDescent="0.3">
      <c r="A58" t="s">
        <v>124</v>
      </c>
      <c r="B58" t="s">
        <v>125</v>
      </c>
      <c r="C58" t="s">
        <v>6</v>
      </c>
      <c r="D58" t="s">
        <v>7</v>
      </c>
    </row>
    <row r="59" spans="1:4" x14ac:dyDescent="0.3">
      <c r="A59" t="s">
        <v>126</v>
      </c>
      <c r="B59" t="s">
        <v>127</v>
      </c>
      <c r="C59" t="s">
        <v>6</v>
      </c>
      <c r="D59" t="s">
        <v>11</v>
      </c>
    </row>
    <row r="60" spans="1:4" x14ac:dyDescent="0.3">
      <c r="A60" t="s">
        <v>128</v>
      </c>
      <c r="B60" t="s">
        <v>129</v>
      </c>
      <c r="C60" t="s">
        <v>10</v>
      </c>
      <c r="D60" t="s">
        <v>7</v>
      </c>
    </row>
    <row r="61" spans="1:4" x14ac:dyDescent="0.3">
      <c r="A61" t="s">
        <v>130</v>
      </c>
      <c r="B61" t="s">
        <v>131</v>
      </c>
      <c r="C61" t="s">
        <v>10</v>
      </c>
      <c r="D61" t="s">
        <v>11</v>
      </c>
    </row>
    <row r="62" spans="1:4" x14ac:dyDescent="0.3">
      <c r="A62" t="s">
        <v>132</v>
      </c>
      <c r="B62" t="s">
        <v>133</v>
      </c>
      <c r="C62" t="s">
        <v>31</v>
      </c>
      <c r="D62" t="s">
        <v>7</v>
      </c>
    </row>
    <row r="63" spans="1:4" x14ac:dyDescent="0.3">
      <c r="A63" t="s">
        <v>134</v>
      </c>
      <c r="B63" t="s">
        <v>135</v>
      </c>
      <c r="C63" t="s">
        <v>17</v>
      </c>
      <c r="D63" t="s">
        <v>28</v>
      </c>
    </row>
    <row r="64" spans="1:4" x14ac:dyDescent="0.3">
      <c r="A64" t="s">
        <v>136</v>
      </c>
      <c r="B64" t="s">
        <v>137</v>
      </c>
      <c r="C64" t="s">
        <v>17</v>
      </c>
      <c r="D64" t="s">
        <v>7</v>
      </c>
    </row>
    <row r="65" spans="1:4" x14ac:dyDescent="0.3">
      <c r="A65" t="s">
        <v>138</v>
      </c>
      <c r="B65" t="s">
        <v>139</v>
      </c>
      <c r="C65" t="s">
        <v>17</v>
      </c>
      <c r="D65" t="s">
        <v>28</v>
      </c>
    </row>
    <row r="66" spans="1:4" x14ac:dyDescent="0.3">
      <c r="A66" t="s">
        <v>140</v>
      </c>
      <c r="B66" t="s">
        <v>141</v>
      </c>
      <c r="C66" t="s">
        <v>10</v>
      </c>
      <c r="D66" t="s">
        <v>11</v>
      </c>
    </row>
    <row r="67" spans="1:4" x14ac:dyDescent="0.3">
      <c r="A67" t="s">
        <v>142</v>
      </c>
      <c r="B67" t="s">
        <v>143</v>
      </c>
      <c r="C67" t="s">
        <v>17</v>
      </c>
      <c r="D67" t="s">
        <v>11</v>
      </c>
    </row>
    <row r="68" spans="1:4" x14ac:dyDescent="0.3">
      <c r="A68" t="s">
        <v>144</v>
      </c>
      <c r="B68" t="s">
        <v>145</v>
      </c>
      <c r="C68" t="s">
        <v>31</v>
      </c>
      <c r="D68" t="s">
        <v>28</v>
      </c>
    </row>
    <row r="69" spans="1:4" x14ac:dyDescent="0.3">
      <c r="A69" t="s">
        <v>146</v>
      </c>
      <c r="B69" t="s">
        <v>147</v>
      </c>
      <c r="C69" t="s">
        <v>10</v>
      </c>
      <c r="D69" t="s">
        <v>28</v>
      </c>
    </row>
    <row r="70" spans="1:4" x14ac:dyDescent="0.3">
      <c r="A70" t="s">
        <v>148</v>
      </c>
      <c r="B70" t="s">
        <v>149</v>
      </c>
      <c r="C70" t="s">
        <v>14</v>
      </c>
      <c r="D70" t="s">
        <v>28</v>
      </c>
    </row>
    <row r="71" spans="1:4" x14ac:dyDescent="0.3">
      <c r="A71" t="s">
        <v>150</v>
      </c>
      <c r="B71" t="s">
        <v>151</v>
      </c>
      <c r="C71" t="s">
        <v>31</v>
      </c>
      <c r="D71" t="s">
        <v>7</v>
      </c>
    </row>
    <row r="72" spans="1:4" x14ac:dyDescent="0.3">
      <c r="A72" t="s">
        <v>152</v>
      </c>
      <c r="B72" t="s">
        <v>153</v>
      </c>
      <c r="C72" t="s">
        <v>6</v>
      </c>
      <c r="D72" t="s">
        <v>11</v>
      </c>
    </row>
    <row r="73" spans="1:4" x14ac:dyDescent="0.3">
      <c r="A73" t="s">
        <v>154</v>
      </c>
      <c r="B73" t="s">
        <v>155</v>
      </c>
      <c r="C73" t="s">
        <v>17</v>
      </c>
      <c r="D73" t="s">
        <v>28</v>
      </c>
    </row>
    <row r="74" spans="1:4" x14ac:dyDescent="0.3">
      <c r="A74" t="s">
        <v>156</v>
      </c>
      <c r="B74" t="s">
        <v>157</v>
      </c>
      <c r="C74" t="s">
        <v>10</v>
      </c>
      <c r="D74" t="s">
        <v>11</v>
      </c>
    </row>
    <row r="75" spans="1:4" x14ac:dyDescent="0.3">
      <c r="A75" t="s">
        <v>158</v>
      </c>
      <c r="B75" t="s">
        <v>159</v>
      </c>
      <c r="C75" t="s">
        <v>10</v>
      </c>
      <c r="D75" t="s">
        <v>28</v>
      </c>
    </row>
    <row r="76" spans="1:4" x14ac:dyDescent="0.3">
      <c r="A76" t="s">
        <v>160</v>
      </c>
      <c r="B76" t="s">
        <v>161</v>
      </c>
      <c r="C76" t="s">
        <v>17</v>
      </c>
      <c r="D76" t="s">
        <v>7</v>
      </c>
    </row>
    <row r="77" spans="1:4" x14ac:dyDescent="0.3">
      <c r="A77" t="s">
        <v>162</v>
      </c>
      <c r="B77" t="s">
        <v>163</v>
      </c>
      <c r="C77" t="s">
        <v>17</v>
      </c>
      <c r="D77" t="s">
        <v>11</v>
      </c>
    </row>
    <row r="78" spans="1:4" x14ac:dyDescent="0.3">
      <c r="A78" t="s">
        <v>164</v>
      </c>
      <c r="B78" t="s">
        <v>165</v>
      </c>
      <c r="C78" t="s">
        <v>10</v>
      </c>
      <c r="D78" t="s">
        <v>11</v>
      </c>
    </row>
    <row r="79" spans="1:4" x14ac:dyDescent="0.3">
      <c r="A79" t="s">
        <v>166</v>
      </c>
      <c r="B79" t="s">
        <v>167</v>
      </c>
      <c r="C79" t="s">
        <v>10</v>
      </c>
      <c r="D79" t="s">
        <v>7</v>
      </c>
    </row>
    <row r="80" spans="1:4" x14ac:dyDescent="0.3">
      <c r="A80" t="s">
        <v>168</v>
      </c>
      <c r="B80" t="s">
        <v>169</v>
      </c>
      <c r="C80" t="s">
        <v>6</v>
      </c>
      <c r="D80" t="s">
        <v>7</v>
      </c>
    </row>
    <row r="81" spans="1:4" x14ac:dyDescent="0.3">
      <c r="A81" t="s">
        <v>170</v>
      </c>
      <c r="B81" t="s">
        <v>171</v>
      </c>
      <c r="C81" t="s">
        <v>17</v>
      </c>
      <c r="D81" t="s">
        <v>7</v>
      </c>
    </row>
    <row r="82" spans="1:4" x14ac:dyDescent="0.3">
      <c r="A82" t="s">
        <v>172</v>
      </c>
      <c r="B82" t="s">
        <v>173</v>
      </c>
      <c r="C82" t="s">
        <v>14</v>
      </c>
      <c r="D82" t="s">
        <v>7</v>
      </c>
    </row>
    <row r="83" spans="1:4" x14ac:dyDescent="0.3">
      <c r="A83" t="s">
        <v>174</v>
      </c>
      <c r="B83" t="s">
        <v>175</v>
      </c>
      <c r="C83" t="s">
        <v>6</v>
      </c>
      <c r="D83" t="s">
        <v>11</v>
      </c>
    </row>
    <row r="84" spans="1:4" x14ac:dyDescent="0.3">
      <c r="A84" t="s">
        <v>176</v>
      </c>
      <c r="B84" t="s">
        <v>177</v>
      </c>
      <c r="C84" t="s">
        <v>31</v>
      </c>
      <c r="D84" t="s">
        <v>7</v>
      </c>
    </row>
    <row r="85" spans="1:4" x14ac:dyDescent="0.3">
      <c r="A85" t="s">
        <v>178</v>
      </c>
      <c r="B85" t="s">
        <v>179</v>
      </c>
      <c r="C85" t="s">
        <v>6</v>
      </c>
      <c r="D85" t="s">
        <v>28</v>
      </c>
    </row>
    <row r="86" spans="1:4" x14ac:dyDescent="0.3">
      <c r="A86" t="s">
        <v>180</v>
      </c>
      <c r="B86" t="s">
        <v>181</v>
      </c>
      <c r="C86" t="s">
        <v>6</v>
      </c>
      <c r="D86" t="s">
        <v>7</v>
      </c>
    </row>
    <row r="87" spans="1:4" x14ac:dyDescent="0.3">
      <c r="A87" t="s">
        <v>182</v>
      </c>
      <c r="B87" t="s">
        <v>183</v>
      </c>
      <c r="C87" t="s">
        <v>17</v>
      </c>
      <c r="D87" t="s">
        <v>7</v>
      </c>
    </row>
    <row r="88" spans="1:4" x14ac:dyDescent="0.3">
      <c r="A88" t="s">
        <v>184</v>
      </c>
      <c r="B88" t="s">
        <v>185</v>
      </c>
      <c r="C88" t="s">
        <v>6</v>
      </c>
      <c r="D88" t="s">
        <v>28</v>
      </c>
    </row>
    <row r="89" spans="1:4" x14ac:dyDescent="0.3">
      <c r="A89" t="s">
        <v>186</v>
      </c>
      <c r="B89" t="s">
        <v>187</v>
      </c>
      <c r="C89" t="s">
        <v>10</v>
      </c>
      <c r="D89" t="s">
        <v>28</v>
      </c>
    </row>
    <row r="90" spans="1:4" x14ac:dyDescent="0.3">
      <c r="A90" t="s">
        <v>188</v>
      </c>
      <c r="B90" t="s">
        <v>189</v>
      </c>
      <c r="C90" t="s">
        <v>14</v>
      </c>
      <c r="D90" t="s">
        <v>28</v>
      </c>
    </row>
    <row r="91" spans="1:4" x14ac:dyDescent="0.3">
      <c r="A91" t="s">
        <v>190</v>
      </c>
      <c r="B91" t="s">
        <v>191</v>
      </c>
      <c r="C91" t="s">
        <v>17</v>
      </c>
      <c r="D91" t="s">
        <v>11</v>
      </c>
    </row>
    <row r="92" spans="1:4" x14ac:dyDescent="0.3">
      <c r="A92" t="s">
        <v>192</v>
      </c>
      <c r="B92" t="s">
        <v>193</v>
      </c>
      <c r="C92" t="s">
        <v>14</v>
      </c>
      <c r="D92" t="s">
        <v>28</v>
      </c>
    </row>
    <row r="93" spans="1:4" x14ac:dyDescent="0.3">
      <c r="A93" t="s">
        <v>194</v>
      </c>
      <c r="B93" t="s">
        <v>195</v>
      </c>
      <c r="C93" t="s">
        <v>14</v>
      </c>
      <c r="D93" t="s">
        <v>11</v>
      </c>
    </row>
    <row r="94" spans="1:4" x14ac:dyDescent="0.3">
      <c r="A94" t="s">
        <v>196</v>
      </c>
      <c r="B94" t="s">
        <v>197</v>
      </c>
      <c r="C94" t="s">
        <v>14</v>
      </c>
      <c r="D94" t="s">
        <v>28</v>
      </c>
    </row>
    <row r="95" spans="1:4" x14ac:dyDescent="0.3">
      <c r="A95" t="s">
        <v>198</v>
      </c>
      <c r="B95" t="s">
        <v>199</v>
      </c>
      <c r="C95" t="s">
        <v>6</v>
      </c>
      <c r="D95" t="s">
        <v>7</v>
      </c>
    </row>
    <row r="96" spans="1:4" x14ac:dyDescent="0.3">
      <c r="A96" t="s">
        <v>200</v>
      </c>
      <c r="B96" t="s">
        <v>201</v>
      </c>
      <c r="C96" t="s">
        <v>17</v>
      </c>
      <c r="D96" t="s">
        <v>28</v>
      </c>
    </row>
    <row r="97" spans="1:4" x14ac:dyDescent="0.3">
      <c r="A97" t="s">
        <v>202</v>
      </c>
      <c r="B97" t="s">
        <v>203</v>
      </c>
      <c r="C97" t="s">
        <v>31</v>
      </c>
      <c r="D97" t="s">
        <v>28</v>
      </c>
    </row>
    <row r="98" spans="1:4" x14ac:dyDescent="0.3">
      <c r="A98" t="s">
        <v>204</v>
      </c>
      <c r="B98" t="s">
        <v>205</v>
      </c>
      <c r="C98" t="s">
        <v>17</v>
      </c>
      <c r="D98" t="s">
        <v>11</v>
      </c>
    </row>
    <row r="99" spans="1:4" x14ac:dyDescent="0.3">
      <c r="A99" t="s">
        <v>206</v>
      </c>
      <c r="B99" t="s">
        <v>207</v>
      </c>
      <c r="C99" t="s">
        <v>17</v>
      </c>
      <c r="D99" t="s">
        <v>11</v>
      </c>
    </row>
    <row r="100" spans="1:4" x14ac:dyDescent="0.3">
      <c r="A100" t="s">
        <v>208</v>
      </c>
      <c r="B100" t="s">
        <v>209</v>
      </c>
      <c r="C100" t="s">
        <v>31</v>
      </c>
      <c r="D100" t="s">
        <v>7</v>
      </c>
    </row>
    <row r="101" spans="1:4" x14ac:dyDescent="0.3">
      <c r="A101" t="s">
        <v>210</v>
      </c>
      <c r="B101" t="s">
        <v>211</v>
      </c>
      <c r="C101" t="s">
        <v>14</v>
      </c>
      <c r="D101" t="s">
        <v>28</v>
      </c>
    </row>
    <row r="102" spans="1:4" x14ac:dyDescent="0.3">
      <c r="A102" t="s">
        <v>212</v>
      </c>
      <c r="B102" t="s">
        <v>213</v>
      </c>
      <c r="C102" t="s">
        <v>14</v>
      </c>
      <c r="D102" t="s">
        <v>7</v>
      </c>
    </row>
    <row r="103" spans="1:4" x14ac:dyDescent="0.3">
      <c r="A103" t="s">
        <v>214</v>
      </c>
      <c r="B103" t="s">
        <v>215</v>
      </c>
      <c r="C103" t="s">
        <v>31</v>
      </c>
      <c r="D103" t="s">
        <v>11</v>
      </c>
    </row>
    <row r="104" spans="1:4" x14ac:dyDescent="0.3">
      <c r="A104" t="s">
        <v>216</v>
      </c>
      <c r="B104" t="s">
        <v>217</v>
      </c>
      <c r="C104" t="s">
        <v>6</v>
      </c>
      <c r="D104" t="s">
        <v>11</v>
      </c>
    </row>
    <row r="105" spans="1:4" x14ac:dyDescent="0.3">
      <c r="A105" t="s">
        <v>218</v>
      </c>
      <c r="B105" t="s">
        <v>219</v>
      </c>
      <c r="C105" t="s">
        <v>14</v>
      </c>
      <c r="D105" t="s">
        <v>7</v>
      </c>
    </row>
    <row r="106" spans="1:4" x14ac:dyDescent="0.3">
      <c r="A106" t="s">
        <v>220</v>
      </c>
      <c r="B106" t="s">
        <v>221</v>
      </c>
      <c r="C106" t="s">
        <v>6</v>
      </c>
      <c r="D106" t="s">
        <v>11</v>
      </c>
    </row>
    <row r="107" spans="1:4" x14ac:dyDescent="0.3">
      <c r="A107" t="s">
        <v>222</v>
      </c>
      <c r="B107" t="s">
        <v>223</v>
      </c>
      <c r="C107" t="s">
        <v>31</v>
      </c>
      <c r="D107" t="s">
        <v>11</v>
      </c>
    </row>
    <row r="108" spans="1:4" x14ac:dyDescent="0.3">
      <c r="A108" t="s">
        <v>224</v>
      </c>
      <c r="B108" t="s">
        <v>225</v>
      </c>
      <c r="C108" t="s">
        <v>17</v>
      </c>
      <c r="D108" t="s">
        <v>11</v>
      </c>
    </row>
    <row r="109" spans="1:4" x14ac:dyDescent="0.3">
      <c r="A109" t="s">
        <v>226</v>
      </c>
      <c r="B109" t="s">
        <v>227</v>
      </c>
      <c r="C109" t="s">
        <v>6</v>
      </c>
      <c r="D109" t="s">
        <v>28</v>
      </c>
    </row>
    <row r="110" spans="1:4" x14ac:dyDescent="0.3">
      <c r="A110" t="s">
        <v>228</v>
      </c>
      <c r="B110" t="s">
        <v>229</v>
      </c>
      <c r="C110" t="s">
        <v>6</v>
      </c>
      <c r="D110" t="s">
        <v>11</v>
      </c>
    </row>
    <row r="111" spans="1:4" x14ac:dyDescent="0.3">
      <c r="A111" t="s">
        <v>230</v>
      </c>
      <c r="B111" t="s">
        <v>231</v>
      </c>
      <c r="C111" t="s">
        <v>14</v>
      </c>
      <c r="D111" t="s">
        <v>28</v>
      </c>
    </row>
    <row r="112" spans="1:4" x14ac:dyDescent="0.3">
      <c r="A112" t="s">
        <v>232</v>
      </c>
      <c r="B112" t="s">
        <v>233</v>
      </c>
      <c r="C112" t="s">
        <v>10</v>
      </c>
      <c r="D112" t="s">
        <v>7</v>
      </c>
    </row>
    <row r="113" spans="1:4" x14ac:dyDescent="0.3">
      <c r="A113" t="s">
        <v>234</v>
      </c>
      <c r="B113" t="s">
        <v>235</v>
      </c>
      <c r="C113" t="s">
        <v>10</v>
      </c>
      <c r="D113" t="s">
        <v>11</v>
      </c>
    </row>
    <row r="114" spans="1:4" x14ac:dyDescent="0.3">
      <c r="A114" t="s">
        <v>236</v>
      </c>
      <c r="B114" t="s">
        <v>237</v>
      </c>
      <c r="C114" t="s">
        <v>17</v>
      </c>
      <c r="D114" t="s">
        <v>11</v>
      </c>
    </row>
    <row r="115" spans="1:4" x14ac:dyDescent="0.3">
      <c r="A115" t="s">
        <v>238</v>
      </c>
      <c r="B115" t="s">
        <v>239</v>
      </c>
      <c r="C115" t="s">
        <v>31</v>
      </c>
      <c r="D115" t="s">
        <v>7</v>
      </c>
    </row>
    <row r="116" spans="1:4" x14ac:dyDescent="0.3">
      <c r="A116" t="s">
        <v>240</v>
      </c>
      <c r="B116" t="s">
        <v>241</v>
      </c>
      <c r="C116" t="s">
        <v>6</v>
      </c>
      <c r="D116" t="s">
        <v>11</v>
      </c>
    </row>
    <row r="117" spans="1:4" x14ac:dyDescent="0.3">
      <c r="A117" t="s">
        <v>242</v>
      </c>
      <c r="B117" t="s">
        <v>243</v>
      </c>
      <c r="C117" t="s">
        <v>17</v>
      </c>
      <c r="D117" t="s">
        <v>11</v>
      </c>
    </row>
    <row r="118" spans="1:4" x14ac:dyDescent="0.3">
      <c r="A118" t="s">
        <v>244</v>
      </c>
      <c r="B118" t="s">
        <v>245</v>
      </c>
      <c r="C118" t="s">
        <v>17</v>
      </c>
      <c r="D118" t="s">
        <v>28</v>
      </c>
    </row>
    <row r="119" spans="1:4" x14ac:dyDescent="0.3">
      <c r="A119" t="s">
        <v>246</v>
      </c>
      <c r="B119" t="s">
        <v>247</v>
      </c>
      <c r="C119" t="s">
        <v>31</v>
      </c>
      <c r="D119" t="s">
        <v>11</v>
      </c>
    </row>
    <row r="120" spans="1:4" x14ac:dyDescent="0.3">
      <c r="A120" t="s">
        <v>248</v>
      </c>
      <c r="B120" t="s">
        <v>249</v>
      </c>
      <c r="C120" t="s">
        <v>10</v>
      </c>
      <c r="D120" t="s">
        <v>28</v>
      </c>
    </row>
    <row r="121" spans="1:4" x14ac:dyDescent="0.3">
      <c r="A121" t="s">
        <v>250</v>
      </c>
      <c r="B121" t="s">
        <v>251</v>
      </c>
      <c r="C121" t="s">
        <v>17</v>
      </c>
      <c r="D121" t="s">
        <v>28</v>
      </c>
    </row>
    <row r="122" spans="1:4" x14ac:dyDescent="0.3">
      <c r="A122" t="s">
        <v>252</v>
      </c>
      <c r="B122" t="s">
        <v>253</v>
      </c>
      <c r="C122" t="s">
        <v>17</v>
      </c>
      <c r="D122" t="s">
        <v>7</v>
      </c>
    </row>
    <row r="123" spans="1:4" x14ac:dyDescent="0.3">
      <c r="A123" t="s">
        <v>254</v>
      </c>
      <c r="B123" t="s">
        <v>255</v>
      </c>
      <c r="C123" t="s">
        <v>17</v>
      </c>
      <c r="D123" t="s">
        <v>11</v>
      </c>
    </row>
    <row r="124" spans="1:4" x14ac:dyDescent="0.3">
      <c r="A124" t="s">
        <v>256</v>
      </c>
      <c r="B124" t="s">
        <v>257</v>
      </c>
      <c r="C124" t="s">
        <v>10</v>
      </c>
      <c r="D124" t="s">
        <v>28</v>
      </c>
    </row>
    <row r="125" spans="1:4" x14ac:dyDescent="0.3">
      <c r="A125" t="s">
        <v>258</v>
      </c>
      <c r="B125" t="s">
        <v>259</v>
      </c>
      <c r="C125" t="s">
        <v>6</v>
      </c>
      <c r="D125" t="s">
        <v>28</v>
      </c>
    </row>
    <row r="126" spans="1:4" x14ac:dyDescent="0.3">
      <c r="A126" t="s">
        <v>260</v>
      </c>
      <c r="B126" t="s">
        <v>261</v>
      </c>
      <c r="C126" t="s">
        <v>14</v>
      </c>
      <c r="D126" t="s">
        <v>7</v>
      </c>
    </row>
    <row r="127" spans="1:4" x14ac:dyDescent="0.3">
      <c r="A127" t="s">
        <v>262</v>
      </c>
      <c r="B127" t="s">
        <v>263</v>
      </c>
      <c r="C127" t="s">
        <v>14</v>
      </c>
      <c r="D127" t="s">
        <v>7</v>
      </c>
    </row>
    <row r="128" spans="1:4" x14ac:dyDescent="0.3">
      <c r="A128" t="s">
        <v>264</v>
      </c>
      <c r="B128" t="s">
        <v>265</v>
      </c>
      <c r="C128" t="s">
        <v>17</v>
      </c>
      <c r="D128" t="s">
        <v>7</v>
      </c>
    </row>
    <row r="129" spans="1:4" x14ac:dyDescent="0.3">
      <c r="A129" t="s">
        <v>266</v>
      </c>
      <c r="B129" t="s">
        <v>267</v>
      </c>
      <c r="C129" t="s">
        <v>6</v>
      </c>
      <c r="D129" t="s">
        <v>7</v>
      </c>
    </row>
    <row r="130" spans="1:4" x14ac:dyDescent="0.3">
      <c r="A130" t="s">
        <v>268</v>
      </c>
      <c r="B130" t="s">
        <v>269</v>
      </c>
      <c r="C130" t="s">
        <v>6</v>
      </c>
      <c r="D130" t="s">
        <v>28</v>
      </c>
    </row>
    <row r="131" spans="1:4" x14ac:dyDescent="0.3">
      <c r="A131" t="s">
        <v>270</v>
      </c>
      <c r="B131" t="s">
        <v>271</v>
      </c>
      <c r="C131" t="s">
        <v>31</v>
      </c>
      <c r="D131" t="s">
        <v>28</v>
      </c>
    </row>
    <row r="132" spans="1:4" x14ac:dyDescent="0.3">
      <c r="A132" t="s">
        <v>272</v>
      </c>
      <c r="B132" t="s">
        <v>273</v>
      </c>
      <c r="C132" t="s">
        <v>14</v>
      </c>
      <c r="D132" t="s">
        <v>7</v>
      </c>
    </row>
    <row r="133" spans="1:4" x14ac:dyDescent="0.3">
      <c r="A133" t="s">
        <v>274</v>
      </c>
      <c r="B133" t="s">
        <v>275</v>
      </c>
      <c r="C133" t="s">
        <v>6</v>
      </c>
      <c r="D133" t="s">
        <v>28</v>
      </c>
    </row>
    <row r="134" spans="1:4" x14ac:dyDescent="0.3">
      <c r="A134" t="s">
        <v>276</v>
      </c>
      <c r="B134" t="s">
        <v>277</v>
      </c>
      <c r="C134" t="s">
        <v>31</v>
      </c>
      <c r="D134" t="s">
        <v>11</v>
      </c>
    </row>
    <row r="135" spans="1:4" x14ac:dyDescent="0.3">
      <c r="A135" t="s">
        <v>278</v>
      </c>
      <c r="B135" t="s">
        <v>279</v>
      </c>
      <c r="C135" t="s">
        <v>6</v>
      </c>
      <c r="D135" t="s">
        <v>7</v>
      </c>
    </row>
    <row r="136" spans="1:4" x14ac:dyDescent="0.3">
      <c r="A136" t="s">
        <v>280</v>
      </c>
      <c r="B136" t="s">
        <v>281</v>
      </c>
      <c r="C136" t="s">
        <v>10</v>
      </c>
      <c r="D136" t="s">
        <v>7</v>
      </c>
    </row>
    <row r="137" spans="1:4" x14ac:dyDescent="0.3">
      <c r="A137" t="s">
        <v>282</v>
      </c>
      <c r="B137" t="s">
        <v>283</v>
      </c>
      <c r="C137" t="s">
        <v>17</v>
      </c>
      <c r="D137" t="s">
        <v>28</v>
      </c>
    </row>
    <row r="138" spans="1:4" x14ac:dyDescent="0.3">
      <c r="A138" t="s">
        <v>284</v>
      </c>
      <c r="B138" t="s">
        <v>285</v>
      </c>
      <c r="C138" t="s">
        <v>31</v>
      </c>
      <c r="D138" t="s">
        <v>7</v>
      </c>
    </row>
    <row r="139" spans="1:4" x14ac:dyDescent="0.3">
      <c r="A139" t="s">
        <v>286</v>
      </c>
      <c r="B139" t="s">
        <v>287</v>
      </c>
      <c r="C139" t="s">
        <v>17</v>
      </c>
      <c r="D139" t="s">
        <v>28</v>
      </c>
    </row>
    <row r="140" spans="1:4" x14ac:dyDescent="0.3">
      <c r="A140" t="s">
        <v>288</v>
      </c>
      <c r="B140" t="s">
        <v>289</v>
      </c>
      <c r="C140" t="s">
        <v>17</v>
      </c>
      <c r="D140" t="s">
        <v>28</v>
      </c>
    </row>
    <row r="141" spans="1:4" x14ac:dyDescent="0.3">
      <c r="A141" t="s">
        <v>290</v>
      </c>
      <c r="B141" t="s">
        <v>291</v>
      </c>
      <c r="C141" t="s">
        <v>14</v>
      </c>
      <c r="D141" t="s">
        <v>28</v>
      </c>
    </row>
    <row r="142" spans="1:4" x14ac:dyDescent="0.3">
      <c r="A142" t="s">
        <v>292</v>
      </c>
      <c r="B142" t="s">
        <v>293</v>
      </c>
      <c r="C142" t="s">
        <v>17</v>
      </c>
      <c r="D142" t="s">
        <v>11</v>
      </c>
    </row>
    <row r="143" spans="1:4" x14ac:dyDescent="0.3">
      <c r="A143" t="s">
        <v>294</v>
      </c>
      <c r="B143" t="s">
        <v>295</v>
      </c>
      <c r="C143" t="s">
        <v>14</v>
      </c>
      <c r="D143" t="s">
        <v>11</v>
      </c>
    </row>
    <row r="144" spans="1:4" x14ac:dyDescent="0.3">
      <c r="A144" t="s">
        <v>296</v>
      </c>
      <c r="B144" t="s">
        <v>297</v>
      </c>
      <c r="C144" t="s">
        <v>6</v>
      </c>
      <c r="D144" t="s">
        <v>11</v>
      </c>
    </row>
    <row r="145" spans="1:4" x14ac:dyDescent="0.3">
      <c r="A145" t="s">
        <v>298</v>
      </c>
      <c r="B145" t="s">
        <v>299</v>
      </c>
      <c r="C145" t="s">
        <v>14</v>
      </c>
      <c r="D145" t="s">
        <v>11</v>
      </c>
    </row>
    <row r="146" spans="1:4" x14ac:dyDescent="0.3">
      <c r="A146" t="s">
        <v>300</v>
      </c>
      <c r="B146" t="s">
        <v>301</v>
      </c>
      <c r="C146" t="s">
        <v>17</v>
      </c>
      <c r="D146" t="s">
        <v>11</v>
      </c>
    </row>
    <row r="147" spans="1:4" x14ac:dyDescent="0.3">
      <c r="A147" t="s">
        <v>302</v>
      </c>
      <c r="B147" t="s">
        <v>303</v>
      </c>
      <c r="C147" t="s">
        <v>31</v>
      </c>
      <c r="D147" t="s">
        <v>28</v>
      </c>
    </row>
    <row r="148" spans="1:4" x14ac:dyDescent="0.3">
      <c r="A148" t="s">
        <v>304</v>
      </c>
      <c r="B148" t="s">
        <v>305</v>
      </c>
      <c r="C148" t="s">
        <v>14</v>
      </c>
      <c r="D148" t="s">
        <v>11</v>
      </c>
    </row>
    <row r="149" spans="1:4" x14ac:dyDescent="0.3">
      <c r="A149" t="s">
        <v>306</v>
      </c>
      <c r="B149" t="s">
        <v>307</v>
      </c>
      <c r="C149" t="s">
        <v>31</v>
      </c>
      <c r="D149" t="s">
        <v>11</v>
      </c>
    </row>
    <row r="150" spans="1:4" x14ac:dyDescent="0.3">
      <c r="A150" t="s">
        <v>308</v>
      </c>
      <c r="B150" t="s">
        <v>309</v>
      </c>
      <c r="C150" t="s">
        <v>17</v>
      </c>
      <c r="D150" t="s">
        <v>11</v>
      </c>
    </row>
    <row r="151" spans="1:4" x14ac:dyDescent="0.3">
      <c r="A151" t="s">
        <v>310</v>
      </c>
      <c r="B151" t="s">
        <v>311</v>
      </c>
      <c r="C151" t="s">
        <v>10</v>
      </c>
      <c r="D151" t="s">
        <v>28</v>
      </c>
    </row>
    <row r="152" spans="1:4" x14ac:dyDescent="0.3">
      <c r="A152" t="s">
        <v>312</v>
      </c>
      <c r="B152" t="s">
        <v>313</v>
      </c>
      <c r="C152" t="s">
        <v>14</v>
      </c>
      <c r="D152" t="s">
        <v>7</v>
      </c>
    </row>
    <row r="153" spans="1:4" x14ac:dyDescent="0.3">
      <c r="A153" t="s">
        <v>314</v>
      </c>
      <c r="B153" t="s">
        <v>315</v>
      </c>
      <c r="C153" t="s">
        <v>14</v>
      </c>
      <c r="D153" t="s">
        <v>7</v>
      </c>
    </row>
    <row r="154" spans="1:4" x14ac:dyDescent="0.3">
      <c r="A154" t="s">
        <v>18</v>
      </c>
      <c r="B154" t="s">
        <v>316</v>
      </c>
      <c r="C154" t="s">
        <v>10</v>
      </c>
      <c r="D154" t="s">
        <v>7</v>
      </c>
    </row>
    <row r="155" spans="1:4" x14ac:dyDescent="0.3">
      <c r="A155" t="s">
        <v>317</v>
      </c>
      <c r="B155" t="s">
        <v>318</v>
      </c>
      <c r="C155" t="s">
        <v>14</v>
      </c>
      <c r="D155" t="s">
        <v>28</v>
      </c>
    </row>
    <row r="156" spans="1:4" x14ac:dyDescent="0.3">
      <c r="A156" t="s">
        <v>319</v>
      </c>
      <c r="B156" t="s">
        <v>320</v>
      </c>
      <c r="C156" t="s">
        <v>10</v>
      </c>
      <c r="D156" t="s">
        <v>7</v>
      </c>
    </row>
    <row r="157" spans="1:4" x14ac:dyDescent="0.3">
      <c r="A157" t="s">
        <v>321</v>
      </c>
      <c r="B157" t="s">
        <v>322</v>
      </c>
      <c r="C157" t="s">
        <v>10</v>
      </c>
      <c r="D157" t="s">
        <v>28</v>
      </c>
    </row>
    <row r="158" spans="1:4" x14ac:dyDescent="0.3">
      <c r="A158" t="s">
        <v>323</v>
      </c>
      <c r="B158" t="s">
        <v>324</v>
      </c>
      <c r="C158" t="s">
        <v>10</v>
      </c>
      <c r="D158" t="s">
        <v>28</v>
      </c>
    </row>
    <row r="159" spans="1:4" x14ac:dyDescent="0.3">
      <c r="A159" t="s">
        <v>325</v>
      </c>
      <c r="B159" t="s">
        <v>326</v>
      </c>
      <c r="C159" t="s">
        <v>10</v>
      </c>
      <c r="D159" t="s">
        <v>11</v>
      </c>
    </row>
    <row r="160" spans="1:4" x14ac:dyDescent="0.3">
      <c r="A160" t="s">
        <v>327</v>
      </c>
      <c r="B160" t="s">
        <v>328</v>
      </c>
      <c r="C160" t="s">
        <v>10</v>
      </c>
      <c r="D160" t="s">
        <v>28</v>
      </c>
    </row>
    <row r="161" spans="1:4" x14ac:dyDescent="0.3">
      <c r="A161" t="s">
        <v>329</v>
      </c>
      <c r="B161" t="s">
        <v>330</v>
      </c>
      <c r="C161" t="s">
        <v>14</v>
      </c>
      <c r="D161" t="s">
        <v>11</v>
      </c>
    </row>
    <row r="162" spans="1:4" x14ac:dyDescent="0.3">
      <c r="A162" t="s">
        <v>331</v>
      </c>
      <c r="B162" t="s">
        <v>332</v>
      </c>
      <c r="C162" t="s">
        <v>10</v>
      </c>
      <c r="D162" t="s">
        <v>7</v>
      </c>
    </row>
    <row r="163" spans="1:4" x14ac:dyDescent="0.3">
      <c r="A163" t="s">
        <v>333</v>
      </c>
      <c r="B163" t="s">
        <v>334</v>
      </c>
      <c r="C163" t="s">
        <v>10</v>
      </c>
      <c r="D163" t="s">
        <v>28</v>
      </c>
    </row>
    <row r="164" spans="1:4" x14ac:dyDescent="0.3">
      <c r="A164" t="s">
        <v>335</v>
      </c>
      <c r="B164" t="s">
        <v>336</v>
      </c>
      <c r="C164" t="s">
        <v>17</v>
      </c>
      <c r="D164" t="s">
        <v>7</v>
      </c>
    </row>
    <row r="165" spans="1:4" x14ac:dyDescent="0.3">
      <c r="A165" t="s">
        <v>337</v>
      </c>
      <c r="B165" t="s">
        <v>338</v>
      </c>
      <c r="C165" t="s">
        <v>10</v>
      </c>
      <c r="D165" t="s">
        <v>28</v>
      </c>
    </row>
    <row r="166" spans="1:4" x14ac:dyDescent="0.3">
      <c r="A166" t="s">
        <v>339</v>
      </c>
      <c r="B166" t="s">
        <v>340</v>
      </c>
      <c r="C166" t="s">
        <v>14</v>
      </c>
      <c r="D166" t="s">
        <v>7</v>
      </c>
    </row>
    <row r="167" spans="1:4" x14ac:dyDescent="0.3">
      <c r="A167" t="s">
        <v>341</v>
      </c>
      <c r="B167" t="s">
        <v>342</v>
      </c>
      <c r="C167" t="s">
        <v>6</v>
      </c>
      <c r="D167" t="s">
        <v>11</v>
      </c>
    </row>
    <row r="168" spans="1:4" x14ac:dyDescent="0.3">
      <c r="A168" t="s">
        <v>343</v>
      </c>
      <c r="B168" t="s">
        <v>344</v>
      </c>
      <c r="C168" t="s">
        <v>14</v>
      </c>
      <c r="D168" t="s">
        <v>28</v>
      </c>
    </row>
    <row r="169" spans="1:4" x14ac:dyDescent="0.3">
      <c r="A169" t="s">
        <v>345</v>
      </c>
      <c r="B169" t="s">
        <v>346</v>
      </c>
      <c r="C169" t="s">
        <v>14</v>
      </c>
      <c r="D169" t="s">
        <v>28</v>
      </c>
    </row>
    <row r="170" spans="1:4" x14ac:dyDescent="0.3">
      <c r="A170" t="s">
        <v>347</v>
      </c>
      <c r="B170" t="s">
        <v>348</v>
      </c>
      <c r="C170" t="s">
        <v>31</v>
      </c>
      <c r="D170" t="s">
        <v>28</v>
      </c>
    </row>
    <row r="171" spans="1:4" x14ac:dyDescent="0.3">
      <c r="A171" t="s">
        <v>349</v>
      </c>
      <c r="B171" t="s">
        <v>350</v>
      </c>
      <c r="C171" t="s">
        <v>17</v>
      </c>
      <c r="D171" t="s">
        <v>11</v>
      </c>
    </row>
    <row r="172" spans="1:4" x14ac:dyDescent="0.3">
      <c r="A172" t="s">
        <v>351</v>
      </c>
      <c r="B172" t="s">
        <v>352</v>
      </c>
      <c r="C172" t="s">
        <v>31</v>
      </c>
      <c r="D172" t="s">
        <v>7</v>
      </c>
    </row>
    <row r="173" spans="1:4" x14ac:dyDescent="0.3">
      <c r="A173" t="s">
        <v>353</v>
      </c>
      <c r="B173" t="s">
        <v>354</v>
      </c>
      <c r="C173" t="s">
        <v>31</v>
      </c>
      <c r="D173" t="s">
        <v>11</v>
      </c>
    </row>
    <row r="174" spans="1:4" x14ac:dyDescent="0.3">
      <c r="A174" t="s">
        <v>355</v>
      </c>
      <c r="B174" t="s">
        <v>356</v>
      </c>
      <c r="C174" t="s">
        <v>10</v>
      </c>
      <c r="D174" t="s">
        <v>28</v>
      </c>
    </row>
    <row r="175" spans="1:4" x14ac:dyDescent="0.3">
      <c r="A175" t="s">
        <v>357</v>
      </c>
      <c r="B175" t="s">
        <v>358</v>
      </c>
      <c r="C175" t="s">
        <v>6</v>
      </c>
      <c r="D175" t="s">
        <v>28</v>
      </c>
    </row>
    <row r="176" spans="1:4" x14ac:dyDescent="0.3">
      <c r="A176" t="s">
        <v>359</v>
      </c>
      <c r="B176" t="s">
        <v>360</v>
      </c>
      <c r="C176" t="s">
        <v>14</v>
      </c>
      <c r="D176" t="s">
        <v>28</v>
      </c>
    </row>
    <row r="177" spans="1:4" x14ac:dyDescent="0.3">
      <c r="A177" t="s">
        <v>361</v>
      </c>
      <c r="B177" t="s">
        <v>362</v>
      </c>
      <c r="C177" t="s">
        <v>14</v>
      </c>
      <c r="D177" t="s">
        <v>11</v>
      </c>
    </row>
    <row r="178" spans="1:4" x14ac:dyDescent="0.3">
      <c r="A178" t="s">
        <v>363</v>
      </c>
      <c r="B178" t="s">
        <v>364</v>
      </c>
      <c r="C178" t="s">
        <v>14</v>
      </c>
      <c r="D178" t="s">
        <v>11</v>
      </c>
    </row>
    <row r="179" spans="1:4" x14ac:dyDescent="0.3">
      <c r="A179" t="s">
        <v>365</v>
      </c>
      <c r="B179" t="s">
        <v>366</v>
      </c>
      <c r="C179" t="s">
        <v>17</v>
      </c>
      <c r="D179" t="s">
        <v>7</v>
      </c>
    </row>
    <row r="180" spans="1:4" x14ac:dyDescent="0.3">
      <c r="A180" t="s">
        <v>367</v>
      </c>
      <c r="B180" t="s">
        <v>368</v>
      </c>
      <c r="C180" t="s">
        <v>6</v>
      </c>
      <c r="D180" t="s">
        <v>11</v>
      </c>
    </row>
    <row r="181" spans="1:4" x14ac:dyDescent="0.3">
      <c r="A181" t="s">
        <v>369</v>
      </c>
      <c r="B181" t="s">
        <v>370</v>
      </c>
      <c r="C181" t="s">
        <v>6</v>
      </c>
      <c r="D181" t="s">
        <v>11</v>
      </c>
    </row>
    <row r="182" spans="1:4" x14ac:dyDescent="0.3">
      <c r="A182" t="s">
        <v>371</v>
      </c>
      <c r="B182" t="s">
        <v>372</v>
      </c>
      <c r="C182" t="s">
        <v>14</v>
      </c>
      <c r="D182" t="s">
        <v>7</v>
      </c>
    </row>
    <row r="183" spans="1:4" x14ac:dyDescent="0.3">
      <c r="A183" t="s">
        <v>373</v>
      </c>
      <c r="B183" t="s">
        <v>374</v>
      </c>
      <c r="C183" t="s">
        <v>10</v>
      </c>
      <c r="D183" t="s">
        <v>28</v>
      </c>
    </row>
    <row r="184" spans="1:4" x14ac:dyDescent="0.3">
      <c r="A184" t="s">
        <v>375</v>
      </c>
      <c r="B184" t="s">
        <v>376</v>
      </c>
      <c r="C184" t="s">
        <v>6</v>
      </c>
      <c r="D184" t="s">
        <v>7</v>
      </c>
    </row>
    <row r="185" spans="1:4" x14ac:dyDescent="0.3">
      <c r="A185" t="s">
        <v>377</v>
      </c>
      <c r="B185" t="s">
        <v>378</v>
      </c>
      <c r="C185" t="s">
        <v>31</v>
      </c>
      <c r="D185" t="s">
        <v>28</v>
      </c>
    </row>
    <row r="186" spans="1:4" x14ac:dyDescent="0.3">
      <c r="A186" t="s">
        <v>379</v>
      </c>
      <c r="B186" t="s">
        <v>380</v>
      </c>
      <c r="C186" t="s">
        <v>31</v>
      </c>
      <c r="D186" t="s">
        <v>28</v>
      </c>
    </row>
    <row r="187" spans="1:4" x14ac:dyDescent="0.3">
      <c r="A187" t="s">
        <v>381</v>
      </c>
      <c r="B187" t="s">
        <v>382</v>
      </c>
      <c r="C187" t="s">
        <v>14</v>
      </c>
      <c r="D187" t="s">
        <v>7</v>
      </c>
    </row>
    <row r="188" spans="1:4" x14ac:dyDescent="0.3">
      <c r="A188" t="s">
        <v>383</v>
      </c>
      <c r="B188" t="s">
        <v>384</v>
      </c>
      <c r="C188" t="s">
        <v>10</v>
      </c>
      <c r="D188" t="s">
        <v>7</v>
      </c>
    </row>
    <row r="189" spans="1:4" x14ac:dyDescent="0.3">
      <c r="A189" t="s">
        <v>385</v>
      </c>
      <c r="B189" t="s">
        <v>386</v>
      </c>
      <c r="C189" t="s">
        <v>10</v>
      </c>
      <c r="D189" t="s">
        <v>11</v>
      </c>
    </row>
    <row r="190" spans="1:4" x14ac:dyDescent="0.3">
      <c r="A190" t="s">
        <v>387</v>
      </c>
      <c r="B190" t="s">
        <v>388</v>
      </c>
      <c r="C190" t="s">
        <v>31</v>
      </c>
      <c r="D190" t="s">
        <v>7</v>
      </c>
    </row>
    <row r="191" spans="1:4" x14ac:dyDescent="0.3">
      <c r="A191" t="s">
        <v>389</v>
      </c>
      <c r="B191" t="s">
        <v>390</v>
      </c>
      <c r="C191" t="s">
        <v>31</v>
      </c>
      <c r="D191" t="s">
        <v>7</v>
      </c>
    </row>
    <row r="192" spans="1:4" x14ac:dyDescent="0.3">
      <c r="A192" t="s">
        <v>391</v>
      </c>
      <c r="B192" t="s">
        <v>392</v>
      </c>
      <c r="C192" t="s">
        <v>6</v>
      </c>
      <c r="D192" t="s">
        <v>28</v>
      </c>
    </row>
    <row r="193" spans="1:4" x14ac:dyDescent="0.3">
      <c r="A193" t="s">
        <v>393</v>
      </c>
      <c r="B193" t="s">
        <v>394</v>
      </c>
      <c r="C193" t="s">
        <v>6</v>
      </c>
      <c r="D193" t="s">
        <v>28</v>
      </c>
    </row>
    <row r="194" spans="1:4" x14ac:dyDescent="0.3">
      <c r="A194" t="s">
        <v>395</v>
      </c>
      <c r="B194" t="s">
        <v>396</v>
      </c>
      <c r="C194" t="s">
        <v>10</v>
      </c>
      <c r="D194" t="s">
        <v>28</v>
      </c>
    </row>
    <row r="195" spans="1:4" x14ac:dyDescent="0.3">
      <c r="A195" t="s">
        <v>397</v>
      </c>
      <c r="B195" t="s">
        <v>398</v>
      </c>
      <c r="C195" t="s">
        <v>10</v>
      </c>
      <c r="D195" t="s">
        <v>7</v>
      </c>
    </row>
    <row r="196" spans="1:4" x14ac:dyDescent="0.3">
      <c r="A196" t="s">
        <v>399</v>
      </c>
      <c r="B196" t="s">
        <v>400</v>
      </c>
      <c r="C196" t="s">
        <v>17</v>
      </c>
      <c r="D196" t="s">
        <v>28</v>
      </c>
    </row>
    <row r="197" spans="1:4" x14ac:dyDescent="0.3">
      <c r="A197" t="s">
        <v>401</v>
      </c>
      <c r="B197" t="s">
        <v>402</v>
      </c>
      <c r="C197" t="s">
        <v>31</v>
      </c>
      <c r="D197" t="s">
        <v>28</v>
      </c>
    </row>
    <row r="198" spans="1:4" x14ac:dyDescent="0.3">
      <c r="A198" t="s">
        <v>403</v>
      </c>
      <c r="B198" t="s">
        <v>404</v>
      </c>
      <c r="C198" t="s">
        <v>6</v>
      </c>
      <c r="D198" t="s">
        <v>28</v>
      </c>
    </row>
    <row r="199" spans="1:4" x14ac:dyDescent="0.3">
      <c r="A199" t="s">
        <v>405</v>
      </c>
      <c r="B199" t="s">
        <v>406</v>
      </c>
      <c r="C199" t="s">
        <v>17</v>
      </c>
      <c r="D199" t="s">
        <v>7</v>
      </c>
    </row>
    <row r="200" spans="1:4" x14ac:dyDescent="0.3">
      <c r="A200" t="s">
        <v>407</v>
      </c>
      <c r="B200" t="s">
        <v>408</v>
      </c>
      <c r="C200" t="s">
        <v>31</v>
      </c>
      <c r="D200" t="s">
        <v>11</v>
      </c>
    </row>
    <row r="201" spans="1:4" x14ac:dyDescent="0.3">
      <c r="A201" t="s">
        <v>409</v>
      </c>
      <c r="B201" t="s">
        <v>410</v>
      </c>
      <c r="C201" t="s">
        <v>14</v>
      </c>
      <c r="D201" t="s">
        <v>28</v>
      </c>
    </row>
    <row r="202" spans="1:4" x14ac:dyDescent="0.3">
      <c r="A202" t="s">
        <v>411</v>
      </c>
      <c r="B202" t="s">
        <v>412</v>
      </c>
      <c r="C202" t="s">
        <v>17</v>
      </c>
      <c r="D202" t="s">
        <v>28</v>
      </c>
    </row>
    <row r="203" spans="1:4" x14ac:dyDescent="0.3">
      <c r="A203" t="s">
        <v>413</v>
      </c>
      <c r="B203" t="s">
        <v>414</v>
      </c>
      <c r="C203" t="s">
        <v>31</v>
      </c>
      <c r="D203" t="s">
        <v>7</v>
      </c>
    </row>
    <row r="204" spans="1:4" x14ac:dyDescent="0.3">
      <c r="A204" t="s">
        <v>415</v>
      </c>
      <c r="B204" t="s">
        <v>416</v>
      </c>
      <c r="C204" t="s">
        <v>17</v>
      </c>
      <c r="D204" t="s">
        <v>11</v>
      </c>
    </row>
    <row r="205" spans="1:4" x14ac:dyDescent="0.3">
      <c r="A205" t="s">
        <v>417</v>
      </c>
      <c r="B205" t="s">
        <v>418</v>
      </c>
      <c r="C205" t="s">
        <v>31</v>
      </c>
      <c r="D205" t="s">
        <v>7</v>
      </c>
    </row>
    <row r="206" spans="1:4" x14ac:dyDescent="0.3">
      <c r="A206" t="s">
        <v>419</v>
      </c>
      <c r="B206" t="s">
        <v>420</v>
      </c>
      <c r="C206" t="s">
        <v>17</v>
      </c>
      <c r="D206" t="s">
        <v>28</v>
      </c>
    </row>
    <row r="207" spans="1:4" x14ac:dyDescent="0.3">
      <c r="A207" t="s">
        <v>421</v>
      </c>
      <c r="B207" t="s">
        <v>422</v>
      </c>
      <c r="C207" t="s">
        <v>31</v>
      </c>
      <c r="D207" t="s">
        <v>7</v>
      </c>
    </row>
    <row r="208" spans="1:4" x14ac:dyDescent="0.3">
      <c r="A208" t="s">
        <v>423</v>
      </c>
      <c r="B208" t="s">
        <v>424</v>
      </c>
      <c r="C208" t="s">
        <v>17</v>
      </c>
      <c r="D208" t="s">
        <v>28</v>
      </c>
    </row>
    <row r="209" spans="1:4" x14ac:dyDescent="0.3">
      <c r="A209" t="s">
        <v>425</v>
      </c>
      <c r="B209" t="s">
        <v>426</v>
      </c>
      <c r="C209" t="s">
        <v>6</v>
      </c>
      <c r="D209" t="s">
        <v>28</v>
      </c>
    </row>
    <row r="210" spans="1:4" x14ac:dyDescent="0.3">
      <c r="A210" t="s">
        <v>126</v>
      </c>
      <c r="B210" t="s">
        <v>427</v>
      </c>
      <c r="C210" t="s">
        <v>31</v>
      </c>
      <c r="D210" t="s">
        <v>28</v>
      </c>
    </row>
    <row r="211" spans="1:4" x14ac:dyDescent="0.3">
      <c r="A211" t="s">
        <v>428</v>
      </c>
      <c r="B211" t="s">
        <v>429</v>
      </c>
      <c r="C211" t="s">
        <v>10</v>
      </c>
      <c r="D211" t="s">
        <v>11</v>
      </c>
    </row>
    <row r="212" spans="1:4" x14ac:dyDescent="0.3">
      <c r="A212" t="s">
        <v>430</v>
      </c>
      <c r="B212" t="s">
        <v>431</v>
      </c>
      <c r="C212" t="s">
        <v>31</v>
      </c>
      <c r="D212" t="s">
        <v>11</v>
      </c>
    </row>
    <row r="213" spans="1:4" x14ac:dyDescent="0.3">
      <c r="A213" t="s">
        <v>432</v>
      </c>
      <c r="B213" t="s">
        <v>433</v>
      </c>
      <c r="C213" t="s">
        <v>6</v>
      </c>
      <c r="D213" t="s">
        <v>11</v>
      </c>
    </row>
    <row r="214" spans="1:4" x14ac:dyDescent="0.3">
      <c r="A214" t="s">
        <v>434</v>
      </c>
      <c r="B214" t="s">
        <v>435</v>
      </c>
      <c r="C214" t="s">
        <v>6</v>
      </c>
      <c r="D214" t="s">
        <v>7</v>
      </c>
    </row>
    <row r="215" spans="1:4" x14ac:dyDescent="0.3">
      <c r="A215" t="s">
        <v>436</v>
      </c>
      <c r="B215" t="s">
        <v>437</v>
      </c>
      <c r="C215" t="s">
        <v>10</v>
      </c>
      <c r="D215" t="s">
        <v>28</v>
      </c>
    </row>
    <row r="216" spans="1:4" x14ac:dyDescent="0.3">
      <c r="A216" t="s">
        <v>438</v>
      </c>
      <c r="B216" t="s">
        <v>439</v>
      </c>
      <c r="C216" t="s">
        <v>31</v>
      </c>
      <c r="D216" t="s">
        <v>11</v>
      </c>
    </row>
    <row r="217" spans="1:4" x14ac:dyDescent="0.3">
      <c r="A217" t="s">
        <v>440</v>
      </c>
      <c r="B217" t="s">
        <v>441</v>
      </c>
      <c r="C217" t="s">
        <v>14</v>
      </c>
      <c r="D217" t="s">
        <v>11</v>
      </c>
    </row>
    <row r="218" spans="1:4" x14ac:dyDescent="0.3">
      <c r="A218" t="s">
        <v>442</v>
      </c>
      <c r="B218" t="s">
        <v>443</v>
      </c>
      <c r="C218" t="s">
        <v>6</v>
      </c>
      <c r="D218" t="s">
        <v>11</v>
      </c>
    </row>
    <row r="219" spans="1:4" x14ac:dyDescent="0.3">
      <c r="A219" t="s">
        <v>444</v>
      </c>
      <c r="B219" t="s">
        <v>445</v>
      </c>
      <c r="C219" t="s">
        <v>14</v>
      </c>
      <c r="D219" t="s">
        <v>7</v>
      </c>
    </row>
    <row r="220" spans="1:4" x14ac:dyDescent="0.3">
      <c r="A220" t="s">
        <v>446</v>
      </c>
      <c r="B220" t="s">
        <v>447</v>
      </c>
      <c r="C220" t="s">
        <v>17</v>
      </c>
      <c r="D220" t="s">
        <v>11</v>
      </c>
    </row>
    <row r="221" spans="1:4" x14ac:dyDescent="0.3">
      <c r="A221" t="s">
        <v>448</v>
      </c>
      <c r="B221" t="s">
        <v>449</v>
      </c>
      <c r="C221" t="s">
        <v>17</v>
      </c>
      <c r="D221" t="s">
        <v>28</v>
      </c>
    </row>
    <row r="222" spans="1:4" x14ac:dyDescent="0.3">
      <c r="A222" t="s">
        <v>450</v>
      </c>
      <c r="B222" t="s">
        <v>451</v>
      </c>
      <c r="C222" t="s">
        <v>31</v>
      </c>
      <c r="D222" t="s">
        <v>11</v>
      </c>
    </row>
    <row r="223" spans="1:4" x14ac:dyDescent="0.3">
      <c r="A223" t="s">
        <v>452</v>
      </c>
      <c r="B223" t="s">
        <v>453</v>
      </c>
      <c r="C223" t="s">
        <v>31</v>
      </c>
      <c r="D223" t="s">
        <v>11</v>
      </c>
    </row>
    <row r="224" spans="1:4" x14ac:dyDescent="0.3">
      <c r="A224" t="s">
        <v>454</v>
      </c>
      <c r="B224" t="s">
        <v>455</v>
      </c>
      <c r="C224" t="s">
        <v>31</v>
      </c>
      <c r="D224" t="s">
        <v>7</v>
      </c>
    </row>
    <row r="225" spans="1:4" x14ac:dyDescent="0.3">
      <c r="A225" t="s">
        <v>456</v>
      </c>
      <c r="B225" t="s">
        <v>457</v>
      </c>
      <c r="C225" t="s">
        <v>14</v>
      </c>
      <c r="D225" t="s">
        <v>28</v>
      </c>
    </row>
    <row r="226" spans="1:4" x14ac:dyDescent="0.3">
      <c r="A226" t="s">
        <v>458</v>
      </c>
      <c r="B226" t="s">
        <v>459</v>
      </c>
      <c r="C226" t="s">
        <v>14</v>
      </c>
      <c r="D226" t="s">
        <v>7</v>
      </c>
    </row>
    <row r="227" spans="1:4" x14ac:dyDescent="0.3">
      <c r="A227" t="s">
        <v>460</v>
      </c>
      <c r="B227" t="s">
        <v>461</v>
      </c>
      <c r="C227" t="s">
        <v>6</v>
      </c>
      <c r="D227" t="s">
        <v>11</v>
      </c>
    </row>
    <row r="228" spans="1:4" x14ac:dyDescent="0.3">
      <c r="A228" t="s">
        <v>462</v>
      </c>
      <c r="B228" t="s">
        <v>463</v>
      </c>
      <c r="C228" t="s">
        <v>10</v>
      </c>
      <c r="D228" t="s">
        <v>28</v>
      </c>
    </row>
    <row r="229" spans="1:4" x14ac:dyDescent="0.3">
      <c r="A229" t="s">
        <v>464</v>
      </c>
      <c r="B229" t="s">
        <v>465</v>
      </c>
      <c r="C229" t="s">
        <v>10</v>
      </c>
      <c r="D229" t="s">
        <v>28</v>
      </c>
    </row>
    <row r="230" spans="1:4" x14ac:dyDescent="0.3">
      <c r="A230" t="s">
        <v>466</v>
      </c>
      <c r="B230" t="s">
        <v>467</v>
      </c>
      <c r="C230" t="s">
        <v>6</v>
      </c>
      <c r="D230" t="s">
        <v>11</v>
      </c>
    </row>
    <row r="231" spans="1:4" x14ac:dyDescent="0.3">
      <c r="A231" t="s">
        <v>468</v>
      </c>
      <c r="B231" t="s">
        <v>469</v>
      </c>
      <c r="C231" t="s">
        <v>6</v>
      </c>
      <c r="D231" t="s">
        <v>7</v>
      </c>
    </row>
    <row r="232" spans="1:4" x14ac:dyDescent="0.3">
      <c r="A232" t="s">
        <v>470</v>
      </c>
      <c r="B232" t="s">
        <v>471</v>
      </c>
      <c r="C232" t="s">
        <v>31</v>
      </c>
      <c r="D232" t="s">
        <v>11</v>
      </c>
    </row>
    <row r="233" spans="1:4" x14ac:dyDescent="0.3">
      <c r="A233" t="s">
        <v>472</v>
      </c>
      <c r="B233" t="s">
        <v>473</v>
      </c>
      <c r="C233" t="s">
        <v>31</v>
      </c>
      <c r="D233" t="s">
        <v>11</v>
      </c>
    </row>
    <row r="234" spans="1:4" x14ac:dyDescent="0.3">
      <c r="A234" t="s">
        <v>474</v>
      </c>
      <c r="B234" t="s">
        <v>475</v>
      </c>
      <c r="C234" t="s">
        <v>31</v>
      </c>
      <c r="D234" t="s">
        <v>28</v>
      </c>
    </row>
    <row r="235" spans="1:4" x14ac:dyDescent="0.3">
      <c r="A235" t="s">
        <v>476</v>
      </c>
      <c r="B235" t="s">
        <v>477</v>
      </c>
      <c r="C235" t="s">
        <v>10</v>
      </c>
      <c r="D235" t="s">
        <v>28</v>
      </c>
    </row>
    <row r="236" spans="1:4" x14ac:dyDescent="0.3">
      <c r="A236" t="s">
        <v>478</v>
      </c>
      <c r="B236" t="s">
        <v>479</v>
      </c>
      <c r="C236" t="s">
        <v>17</v>
      </c>
      <c r="D236" t="s">
        <v>7</v>
      </c>
    </row>
    <row r="237" spans="1:4" x14ac:dyDescent="0.3">
      <c r="A237" t="s">
        <v>480</v>
      </c>
      <c r="B237" t="s">
        <v>481</v>
      </c>
      <c r="C237" t="s">
        <v>31</v>
      </c>
      <c r="D237" t="s">
        <v>7</v>
      </c>
    </row>
    <row r="238" spans="1:4" x14ac:dyDescent="0.3">
      <c r="A238" t="s">
        <v>482</v>
      </c>
      <c r="B238" t="s">
        <v>483</v>
      </c>
      <c r="C238" t="s">
        <v>17</v>
      </c>
      <c r="D238" t="s">
        <v>7</v>
      </c>
    </row>
    <row r="239" spans="1:4" x14ac:dyDescent="0.3">
      <c r="A239" t="s">
        <v>484</v>
      </c>
      <c r="B239" t="s">
        <v>485</v>
      </c>
      <c r="C239" t="s">
        <v>10</v>
      </c>
      <c r="D239" t="s">
        <v>7</v>
      </c>
    </row>
    <row r="240" spans="1:4" x14ac:dyDescent="0.3">
      <c r="A240" t="s">
        <v>486</v>
      </c>
      <c r="B240" t="s">
        <v>487</v>
      </c>
      <c r="C240" t="s">
        <v>14</v>
      </c>
      <c r="D240" t="s">
        <v>11</v>
      </c>
    </row>
    <row r="241" spans="1:4" x14ac:dyDescent="0.3">
      <c r="A241" t="s">
        <v>488</v>
      </c>
      <c r="B241" t="s">
        <v>489</v>
      </c>
      <c r="C241" t="s">
        <v>17</v>
      </c>
      <c r="D241" t="s">
        <v>28</v>
      </c>
    </row>
    <row r="242" spans="1:4" x14ac:dyDescent="0.3">
      <c r="A242" t="s">
        <v>490</v>
      </c>
      <c r="B242" t="s">
        <v>491</v>
      </c>
      <c r="C242" t="s">
        <v>14</v>
      </c>
      <c r="D242" t="s">
        <v>28</v>
      </c>
    </row>
    <row r="243" spans="1:4" x14ac:dyDescent="0.3">
      <c r="A243" t="s">
        <v>492</v>
      </c>
      <c r="B243" t="s">
        <v>493</v>
      </c>
      <c r="C243" t="s">
        <v>17</v>
      </c>
      <c r="D243" t="s">
        <v>7</v>
      </c>
    </row>
    <row r="244" spans="1:4" x14ac:dyDescent="0.3">
      <c r="A244" t="s">
        <v>494</v>
      </c>
      <c r="B244" t="s">
        <v>495</v>
      </c>
      <c r="C244" t="s">
        <v>14</v>
      </c>
      <c r="D244" t="s">
        <v>7</v>
      </c>
    </row>
    <row r="245" spans="1:4" x14ac:dyDescent="0.3">
      <c r="A245" t="s">
        <v>496</v>
      </c>
      <c r="B245" t="s">
        <v>497</v>
      </c>
      <c r="C245" t="s">
        <v>17</v>
      </c>
      <c r="D245" t="s">
        <v>7</v>
      </c>
    </row>
    <row r="246" spans="1:4" x14ac:dyDescent="0.3">
      <c r="A246" t="s">
        <v>498</v>
      </c>
      <c r="B246" t="s">
        <v>499</v>
      </c>
      <c r="C246" t="s">
        <v>31</v>
      </c>
      <c r="D246" t="s">
        <v>7</v>
      </c>
    </row>
    <row r="247" spans="1:4" x14ac:dyDescent="0.3">
      <c r="A247" t="s">
        <v>500</v>
      </c>
      <c r="B247" t="s">
        <v>501</v>
      </c>
      <c r="C247" t="s">
        <v>10</v>
      </c>
      <c r="D247" t="s">
        <v>11</v>
      </c>
    </row>
    <row r="248" spans="1:4" x14ac:dyDescent="0.3">
      <c r="A248" t="s">
        <v>502</v>
      </c>
      <c r="B248" t="s">
        <v>503</v>
      </c>
      <c r="C248" t="s">
        <v>31</v>
      </c>
      <c r="D248" t="s">
        <v>11</v>
      </c>
    </row>
    <row r="249" spans="1:4" x14ac:dyDescent="0.3">
      <c r="A249" t="s">
        <v>118</v>
      </c>
      <c r="B249" t="s">
        <v>504</v>
      </c>
      <c r="C249" t="s">
        <v>6</v>
      </c>
      <c r="D249" t="s">
        <v>11</v>
      </c>
    </row>
    <row r="250" spans="1:4" x14ac:dyDescent="0.3">
      <c r="A250" t="s">
        <v>300</v>
      </c>
      <c r="B250" t="s">
        <v>505</v>
      </c>
      <c r="C250" t="s">
        <v>6</v>
      </c>
      <c r="D250" t="s">
        <v>28</v>
      </c>
    </row>
    <row r="251" spans="1:4" x14ac:dyDescent="0.3">
      <c r="A251" t="s">
        <v>506</v>
      </c>
      <c r="B251" t="s">
        <v>507</v>
      </c>
      <c r="C251" t="s">
        <v>14</v>
      </c>
      <c r="D251" t="s">
        <v>7</v>
      </c>
    </row>
    <row r="252" spans="1:4" x14ac:dyDescent="0.3">
      <c r="A252" t="s">
        <v>508</v>
      </c>
      <c r="B252" t="s">
        <v>509</v>
      </c>
      <c r="C252" t="s">
        <v>10</v>
      </c>
      <c r="D252" t="s">
        <v>28</v>
      </c>
    </row>
    <row r="253" spans="1:4" x14ac:dyDescent="0.3">
      <c r="A253" t="s">
        <v>510</v>
      </c>
      <c r="B253" t="s">
        <v>511</v>
      </c>
      <c r="C253" t="s">
        <v>6</v>
      </c>
      <c r="D253" t="s">
        <v>7</v>
      </c>
    </row>
    <row r="254" spans="1:4" x14ac:dyDescent="0.3">
      <c r="A254" t="s">
        <v>512</v>
      </c>
      <c r="B254" t="s">
        <v>513</v>
      </c>
      <c r="C254" t="s">
        <v>6</v>
      </c>
      <c r="D254" t="s">
        <v>28</v>
      </c>
    </row>
    <row r="255" spans="1:4" x14ac:dyDescent="0.3">
      <c r="A255" t="s">
        <v>514</v>
      </c>
      <c r="B255" t="s">
        <v>515</v>
      </c>
      <c r="C255" t="s">
        <v>10</v>
      </c>
      <c r="D255" t="s">
        <v>7</v>
      </c>
    </row>
    <row r="256" spans="1:4" x14ac:dyDescent="0.3">
      <c r="A256" t="s">
        <v>516</v>
      </c>
      <c r="B256" t="s">
        <v>517</v>
      </c>
      <c r="C256" t="s">
        <v>6</v>
      </c>
      <c r="D256" t="s">
        <v>28</v>
      </c>
    </row>
    <row r="257" spans="1:4" x14ac:dyDescent="0.3">
      <c r="A257" t="s">
        <v>518</v>
      </c>
      <c r="B257" t="s">
        <v>519</v>
      </c>
      <c r="C257" t="s">
        <v>6</v>
      </c>
      <c r="D257" t="s">
        <v>28</v>
      </c>
    </row>
    <row r="258" spans="1:4" x14ac:dyDescent="0.3">
      <c r="A258" t="s">
        <v>520</v>
      </c>
      <c r="B258" t="s">
        <v>521</v>
      </c>
      <c r="C258" t="s">
        <v>6</v>
      </c>
      <c r="D258" t="s">
        <v>11</v>
      </c>
    </row>
    <row r="259" spans="1:4" x14ac:dyDescent="0.3">
      <c r="A259" t="s">
        <v>522</v>
      </c>
      <c r="B259" t="s">
        <v>523</v>
      </c>
      <c r="C259" t="s">
        <v>10</v>
      </c>
      <c r="D259" t="s">
        <v>28</v>
      </c>
    </row>
    <row r="260" spans="1:4" x14ac:dyDescent="0.3">
      <c r="A260" t="s">
        <v>524</v>
      </c>
      <c r="B260" t="s">
        <v>525</v>
      </c>
      <c r="C260" t="s">
        <v>10</v>
      </c>
      <c r="D260" t="s">
        <v>28</v>
      </c>
    </row>
    <row r="261" spans="1:4" x14ac:dyDescent="0.3">
      <c r="A261" t="s">
        <v>526</v>
      </c>
      <c r="B261" t="s">
        <v>527</v>
      </c>
      <c r="C261" t="s">
        <v>10</v>
      </c>
      <c r="D261" t="s">
        <v>11</v>
      </c>
    </row>
    <row r="262" spans="1:4" x14ac:dyDescent="0.3">
      <c r="A262" t="s">
        <v>528</v>
      </c>
      <c r="B262" t="s">
        <v>529</v>
      </c>
      <c r="C262" t="s">
        <v>10</v>
      </c>
      <c r="D262" t="s">
        <v>11</v>
      </c>
    </row>
    <row r="263" spans="1:4" x14ac:dyDescent="0.3">
      <c r="A263" t="s">
        <v>530</v>
      </c>
      <c r="B263" t="s">
        <v>531</v>
      </c>
      <c r="C263" t="s">
        <v>14</v>
      </c>
      <c r="D263" t="s">
        <v>11</v>
      </c>
    </row>
    <row r="264" spans="1:4" x14ac:dyDescent="0.3">
      <c r="A264" t="s">
        <v>532</v>
      </c>
      <c r="B264" t="s">
        <v>533</v>
      </c>
      <c r="C264" t="s">
        <v>6</v>
      </c>
      <c r="D264" t="s">
        <v>7</v>
      </c>
    </row>
    <row r="265" spans="1:4" x14ac:dyDescent="0.3">
      <c r="A265" t="s">
        <v>534</v>
      </c>
      <c r="B265" t="s">
        <v>535</v>
      </c>
      <c r="C265" t="s">
        <v>31</v>
      </c>
      <c r="D265" t="s">
        <v>11</v>
      </c>
    </row>
    <row r="266" spans="1:4" x14ac:dyDescent="0.3">
      <c r="A266" t="s">
        <v>536</v>
      </c>
      <c r="B266" t="s">
        <v>537</v>
      </c>
      <c r="C266" t="s">
        <v>14</v>
      </c>
      <c r="D266" t="s">
        <v>11</v>
      </c>
    </row>
    <row r="267" spans="1:4" x14ac:dyDescent="0.3">
      <c r="A267" t="s">
        <v>538</v>
      </c>
      <c r="B267" t="s">
        <v>539</v>
      </c>
      <c r="C267" t="s">
        <v>10</v>
      </c>
      <c r="D267" t="s">
        <v>7</v>
      </c>
    </row>
    <row r="268" spans="1:4" x14ac:dyDescent="0.3">
      <c r="A268" t="s">
        <v>540</v>
      </c>
      <c r="B268" t="s">
        <v>541</v>
      </c>
      <c r="C268" t="s">
        <v>31</v>
      </c>
      <c r="D268" t="s">
        <v>28</v>
      </c>
    </row>
    <row r="269" spans="1:4" x14ac:dyDescent="0.3">
      <c r="A269" t="s">
        <v>542</v>
      </c>
      <c r="B269" t="s">
        <v>543</v>
      </c>
      <c r="C269" t="s">
        <v>10</v>
      </c>
      <c r="D269" t="s">
        <v>11</v>
      </c>
    </row>
    <row r="270" spans="1:4" x14ac:dyDescent="0.3">
      <c r="A270" t="s">
        <v>544</v>
      </c>
      <c r="B270" t="s">
        <v>545</v>
      </c>
      <c r="C270" t="s">
        <v>14</v>
      </c>
      <c r="D270" t="s">
        <v>11</v>
      </c>
    </row>
    <row r="271" spans="1:4" x14ac:dyDescent="0.3">
      <c r="A271" t="s">
        <v>546</v>
      </c>
      <c r="B271" t="s">
        <v>547</v>
      </c>
      <c r="C271" t="s">
        <v>14</v>
      </c>
      <c r="D271" t="s">
        <v>11</v>
      </c>
    </row>
    <row r="272" spans="1:4" x14ac:dyDescent="0.3">
      <c r="A272" t="s">
        <v>90</v>
      </c>
      <c r="B272" t="s">
        <v>548</v>
      </c>
      <c r="C272" t="s">
        <v>10</v>
      </c>
      <c r="D272" t="s">
        <v>7</v>
      </c>
    </row>
    <row r="273" spans="1:4" x14ac:dyDescent="0.3">
      <c r="A273" t="s">
        <v>549</v>
      </c>
      <c r="B273" t="s">
        <v>550</v>
      </c>
      <c r="C273" t="s">
        <v>31</v>
      </c>
      <c r="D273" t="s">
        <v>28</v>
      </c>
    </row>
    <row r="274" spans="1:4" x14ac:dyDescent="0.3">
      <c r="A274" t="s">
        <v>551</v>
      </c>
      <c r="B274" t="s">
        <v>552</v>
      </c>
      <c r="C274" t="s">
        <v>14</v>
      </c>
      <c r="D274" t="s">
        <v>7</v>
      </c>
    </row>
    <row r="275" spans="1:4" x14ac:dyDescent="0.3">
      <c r="A275" t="s">
        <v>553</v>
      </c>
      <c r="B275" t="s">
        <v>554</v>
      </c>
      <c r="C275" t="s">
        <v>31</v>
      </c>
      <c r="D275" t="s">
        <v>11</v>
      </c>
    </row>
    <row r="276" spans="1:4" x14ac:dyDescent="0.3">
      <c r="A276" t="s">
        <v>555</v>
      </c>
      <c r="B276" t="s">
        <v>556</v>
      </c>
      <c r="C276" t="s">
        <v>6</v>
      </c>
      <c r="D276" t="s">
        <v>28</v>
      </c>
    </row>
    <row r="277" spans="1:4" x14ac:dyDescent="0.3">
      <c r="A277" t="s">
        <v>557</v>
      </c>
      <c r="B277" t="s">
        <v>558</v>
      </c>
      <c r="C277" t="s">
        <v>17</v>
      </c>
      <c r="D277" t="s">
        <v>28</v>
      </c>
    </row>
    <row r="278" spans="1:4" x14ac:dyDescent="0.3">
      <c r="A278" t="s">
        <v>559</v>
      </c>
      <c r="B278" t="s">
        <v>560</v>
      </c>
      <c r="C278" t="s">
        <v>14</v>
      </c>
      <c r="D278" t="s">
        <v>11</v>
      </c>
    </row>
    <row r="279" spans="1:4" x14ac:dyDescent="0.3">
      <c r="A279" t="s">
        <v>561</v>
      </c>
      <c r="B279" t="s">
        <v>562</v>
      </c>
      <c r="C279" t="s">
        <v>31</v>
      </c>
      <c r="D279" t="s">
        <v>28</v>
      </c>
    </row>
    <row r="280" spans="1:4" x14ac:dyDescent="0.3">
      <c r="A280" t="s">
        <v>563</v>
      </c>
      <c r="B280" t="s">
        <v>564</v>
      </c>
      <c r="C280" t="s">
        <v>14</v>
      </c>
      <c r="D280" t="s">
        <v>7</v>
      </c>
    </row>
    <row r="281" spans="1:4" x14ac:dyDescent="0.3">
      <c r="A281" t="s">
        <v>565</v>
      </c>
      <c r="B281" t="s">
        <v>566</v>
      </c>
      <c r="C281" t="s">
        <v>31</v>
      </c>
      <c r="D281" t="s">
        <v>28</v>
      </c>
    </row>
    <row r="282" spans="1:4" x14ac:dyDescent="0.3">
      <c r="A282" t="s">
        <v>567</v>
      </c>
      <c r="B282" t="s">
        <v>568</v>
      </c>
      <c r="C282" t="s">
        <v>6</v>
      </c>
      <c r="D282" t="s">
        <v>28</v>
      </c>
    </row>
    <row r="283" spans="1:4" x14ac:dyDescent="0.3">
      <c r="A283" t="s">
        <v>458</v>
      </c>
      <c r="B283" t="s">
        <v>569</v>
      </c>
      <c r="C283" t="s">
        <v>14</v>
      </c>
      <c r="D283" t="s">
        <v>7</v>
      </c>
    </row>
    <row r="284" spans="1:4" x14ac:dyDescent="0.3">
      <c r="A284" t="s">
        <v>570</v>
      </c>
      <c r="B284" t="s">
        <v>571</v>
      </c>
      <c r="C284" t="s">
        <v>31</v>
      </c>
      <c r="D284" t="s">
        <v>7</v>
      </c>
    </row>
    <row r="285" spans="1:4" x14ac:dyDescent="0.3">
      <c r="A285" t="s">
        <v>572</v>
      </c>
      <c r="B285" t="s">
        <v>573</v>
      </c>
      <c r="C285" t="s">
        <v>17</v>
      </c>
      <c r="D285" t="s">
        <v>7</v>
      </c>
    </row>
    <row r="286" spans="1:4" x14ac:dyDescent="0.3">
      <c r="A286" t="s">
        <v>574</v>
      </c>
      <c r="B286" t="s">
        <v>575</v>
      </c>
      <c r="C286" t="s">
        <v>14</v>
      </c>
      <c r="D286" t="s">
        <v>11</v>
      </c>
    </row>
    <row r="287" spans="1:4" x14ac:dyDescent="0.3">
      <c r="A287" t="s">
        <v>576</v>
      </c>
      <c r="B287" t="s">
        <v>577</v>
      </c>
      <c r="C287" t="s">
        <v>6</v>
      </c>
      <c r="D287" t="s">
        <v>7</v>
      </c>
    </row>
    <row r="288" spans="1:4" x14ac:dyDescent="0.3">
      <c r="A288" t="s">
        <v>578</v>
      </c>
      <c r="B288" t="s">
        <v>579</v>
      </c>
      <c r="C288" t="s">
        <v>31</v>
      </c>
      <c r="D288" t="s">
        <v>7</v>
      </c>
    </row>
    <row r="289" spans="1:4" x14ac:dyDescent="0.3">
      <c r="A289" t="s">
        <v>580</v>
      </c>
      <c r="B289" t="s">
        <v>581</v>
      </c>
      <c r="C289" t="s">
        <v>31</v>
      </c>
      <c r="D289" t="s">
        <v>7</v>
      </c>
    </row>
    <row r="290" spans="1:4" x14ac:dyDescent="0.3">
      <c r="A290" t="s">
        <v>582</v>
      </c>
      <c r="B290" t="s">
        <v>583</v>
      </c>
      <c r="C290" t="s">
        <v>10</v>
      </c>
      <c r="D290" t="s">
        <v>11</v>
      </c>
    </row>
    <row r="291" spans="1:4" x14ac:dyDescent="0.3">
      <c r="A291" t="s">
        <v>584</v>
      </c>
      <c r="B291" t="s">
        <v>585</v>
      </c>
      <c r="C291" t="s">
        <v>31</v>
      </c>
      <c r="D291" t="s">
        <v>11</v>
      </c>
    </row>
    <row r="292" spans="1:4" x14ac:dyDescent="0.3">
      <c r="A292" t="s">
        <v>586</v>
      </c>
      <c r="B292" t="s">
        <v>587</v>
      </c>
      <c r="C292" t="s">
        <v>10</v>
      </c>
      <c r="D292" t="s">
        <v>28</v>
      </c>
    </row>
    <row r="293" spans="1:4" x14ac:dyDescent="0.3">
      <c r="A293" t="s">
        <v>588</v>
      </c>
      <c r="B293" t="s">
        <v>589</v>
      </c>
      <c r="C293" t="s">
        <v>14</v>
      </c>
      <c r="D293" t="s">
        <v>28</v>
      </c>
    </row>
    <row r="294" spans="1:4" x14ac:dyDescent="0.3">
      <c r="A294" t="s">
        <v>590</v>
      </c>
      <c r="B294" t="s">
        <v>591</v>
      </c>
      <c r="C294" t="s">
        <v>6</v>
      </c>
      <c r="D294" t="s">
        <v>11</v>
      </c>
    </row>
    <row r="295" spans="1:4" x14ac:dyDescent="0.3">
      <c r="A295" t="s">
        <v>592</v>
      </c>
      <c r="B295" t="s">
        <v>593</v>
      </c>
      <c r="C295" t="s">
        <v>14</v>
      </c>
      <c r="D295" t="s">
        <v>7</v>
      </c>
    </row>
    <row r="296" spans="1:4" x14ac:dyDescent="0.3">
      <c r="A296" t="s">
        <v>594</v>
      </c>
      <c r="B296" t="s">
        <v>595</v>
      </c>
      <c r="C296" t="s">
        <v>17</v>
      </c>
      <c r="D296" t="s">
        <v>11</v>
      </c>
    </row>
    <row r="297" spans="1:4" x14ac:dyDescent="0.3">
      <c r="A297" t="s">
        <v>596</v>
      </c>
      <c r="B297" t="s">
        <v>597</v>
      </c>
      <c r="C297" t="s">
        <v>10</v>
      </c>
      <c r="D297" t="s">
        <v>28</v>
      </c>
    </row>
    <row r="298" spans="1:4" x14ac:dyDescent="0.3">
      <c r="A298" t="s">
        <v>598</v>
      </c>
      <c r="B298" t="s">
        <v>599</v>
      </c>
      <c r="C298" t="s">
        <v>31</v>
      </c>
      <c r="D298" t="s">
        <v>28</v>
      </c>
    </row>
    <row r="299" spans="1:4" x14ac:dyDescent="0.3">
      <c r="A299" t="s">
        <v>600</v>
      </c>
      <c r="B299" t="s">
        <v>601</v>
      </c>
      <c r="C299" t="s">
        <v>6</v>
      </c>
      <c r="D299" t="s">
        <v>11</v>
      </c>
    </row>
    <row r="300" spans="1:4" x14ac:dyDescent="0.3">
      <c r="A300" t="s">
        <v>602</v>
      </c>
      <c r="B300" t="s">
        <v>603</v>
      </c>
      <c r="C300" t="s">
        <v>17</v>
      </c>
      <c r="D300" t="s">
        <v>28</v>
      </c>
    </row>
    <row r="301" spans="1:4" x14ac:dyDescent="0.3">
      <c r="A301" t="s">
        <v>604</v>
      </c>
      <c r="B301" t="s">
        <v>605</v>
      </c>
      <c r="C301" t="s">
        <v>10</v>
      </c>
      <c r="D301" t="s">
        <v>28</v>
      </c>
    </row>
    <row r="302" spans="1:4" x14ac:dyDescent="0.3">
      <c r="A302" t="s">
        <v>606</v>
      </c>
      <c r="B302" t="s">
        <v>607</v>
      </c>
      <c r="C302" t="s">
        <v>31</v>
      </c>
      <c r="D302" t="s">
        <v>28</v>
      </c>
    </row>
    <row r="303" spans="1:4" x14ac:dyDescent="0.3">
      <c r="A303" t="s">
        <v>608</v>
      </c>
      <c r="B303" t="s">
        <v>609</v>
      </c>
      <c r="C303" t="s">
        <v>31</v>
      </c>
      <c r="D303" t="s">
        <v>7</v>
      </c>
    </row>
    <row r="304" spans="1:4" x14ac:dyDescent="0.3">
      <c r="A304" t="s">
        <v>610</v>
      </c>
      <c r="B304" t="s">
        <v>611</v>
      </c>
      <c r="C304" t="s">
        <v>31</v>
      </c>
      <c r="D304" t="s">
        <v>7</v>
      </c>
    </row>
    <row r="305" spans="1:4" x14ac:dyDescent="0.3">
      <c r="A305" t="s">
        <v>612</v>
      </c>
      <c r="B305" t="s">
        <v>613</v>
      </c>
      <c r="C305" t="s">
        <v>14</v>
      </c>
      <c r="D305" t="s">
        <v>28</v>
      </c>
    </row>
    <row r="306" spans="1:4" x14ac:dyDescent="0.3">
      <c r="A306" t="s">
        <v>614</v>
      </c>
      <c r="B306" t="s">
        <v>615</v>
      </c>
      <c r="C306" t="s">
        <v>31</v>
      </c>
      <c r="D306" t="s">
        <v>7</v>
      </c>
    </row>
    <row r="307" spans="1:4" x14ac:dyDescent="0.3">
      <c r="A307" t="s">
        <v>616</v>
      </c>
      <c r="B307" t="s">
        <v>617</v>
      </c>
      <c r="C307" t="s">
        <v>10</v>
      </c>
      <c r="D307" t="s">
        <v>11</v>
      </c>
    </row>
    <row r="308" spans="1:4" x14ac:dyDescent="0.3">
      <c r="A308" t="s">
        <v>618</v>
      </c>
      <c r="B308" t="s">
        <v>619</v>
      </c>
      <c r="C308" t="s">
        <v>17</v>
      </c>
      <c r="D308" t="s">
        <v>7</v>
      </c>
    </row>
    <row r="309" spans="1:4" x14ac:dyDescent="0.3">
      <c r="A309" t="s">
        <v>620</v>
      </c>
      <c r="B309" t="s">
        <v>621</v>
      </c>
      <c r="C309" t="s">
        <v>17</v>
      </c>
      <c r="D309" t="s">
        <v>7</v>
      </c>
    </row>
    <row r="310" spans="1:4" x14ac:dyDescent="0.3">
      <c r="A310" t="s">
        <v>622</v>
      </c>
      <c r="B310" t="s">
        <v>623</v>
      </c>
      <c r="C310" t="s">
        <v>10</v>
      </c>
      <c r="D310" t="s">
        <v>7</v>
      </c>
    </row>
    <row r="311" spans="1:4" x14ac:dyDescent="0.3">
      <c r="A311" t="s">
        <v>624</v>
      </c>
      <c r="B311" t="s">
        <v>625</v>
      </c>
      <c r="C311" t="s">
        <v>14</v>
      </c>
      <c r="D311" t="s">
        <v>28</v>
      </c>
    </row>
    <row r="312" spans="1:4" x14ac:dyDescent="0.3">
      <c r="A312" t="s">
        <v>626</v>
      </c>
      <c r="B312" t="s">
        <v>627</v>
      </c>
      <c r="C312" t="s">
        <v>14</v>
      </c>
      <c r="D312" t="s">
        <v>7</v>
      </c>
    </row>
    <row r="313" spans="1:4" x14ac:dyDescent="0.3">
      <c r="A313" t="s">
        <v>628</v>
      </c>
      <c r="B313" t="s">
        <v>629</v>
      </c>
      <c r="C313" t="s">
        <v>10</v>
      </c>
      <c r="D313" t="s">
        <v>28</v>
      </c>
    </row>
    <row r="314" spans="1:4" x14ac:dyDescent="0.3">
      <c r="A314" t="s">
        <v>630</v>
      </c>
      <c r="B314" t="s">
        <v>631</v>
      </c>
      <c r="C314" t="s">
        <v>10</v>
      </c>
      <c r="D314" t="s">
        <v>11</v>
      </c>
    </row>
    <row r="315" spans="1:4" x14ac:dyDescent="0.3">
      <c r="A315" t="s">
        <v>632</v>
      </c>
      <c r="B315" t="s">
        <v>633</v>
      </c>
      <c r="C315" t="s">
        <v>14</v>
      </c>
      <c r="D315" t="s">
        <v>7</v>
      </c>
    </row>
    <row r="316" spans="1:4" x14ac:dyDescent="0.3">
      <c r="A316" t="s">
        <v>634</v>
      </c>
      <c r="B316" t="s">
        <v>635</v>
      </c>
      <c r="C316" t="s">
        <v>10</v>
      </c>
      <c r="D316" t="s">
        <v>28</v>
      </c>
    </row>
    <row r="317" spans="1:4" x14ac:dyDescent="0.3">
      <c r="A317" t="s">
        <v>636</v>
      </c>
      <c r="B317" t="s">
        <v>637</v>
      </c>
      <c r="C317" t="s">
        <v>31</v>
      </c>
      <c r="D317" t="s">
        <v>11</v>
      </c>
    </row>
    <row r="318" spans="1:4" x14ac:dyDescent="0.3">
      <c r="A318" t="s">
        <v>638</v>
      </c>
      <c r="B318" t="s">
        <v>639</v>
      </c>
      <c r="C318" t="s">
        <v>31</v>
      </c>
      <c r="D318" t="s">
        <v>11</v>
      </c>
    </row>
    <row r="319" spans="1:4" x14ac:dyDescent="0.3">
      <c r="A319" t="s">
        <v>640</v>
      </c>
      <c r="B319" t="s">
        <v>641</v>
      </c>
      <c r="C319" t="s">
        <v>10</v>
      </c>
      <c r="D319" t="s">
        <v>28</v>
      </c>
    </row>
    <row r="320" spans="1:4" x14ac:dyDescent="0.3">
      <c r="A320" t="s">
        <v>642</v>
      </c>
      <c r="B320" t="s">
        <v>643</v>
      </c>
      <c r="C320" t="s">
        <v>14</v>
      </c>
      <c r="D320" t="s">
        <v>28</v>
      </c>
    </row>
    <row r="321" spans="1:4" x14ac:dyDescent="0.3">
      <c r="A321" t="s">
        <v>644</v>
      </c>
      <c r="B321" t="s">
        <v>645</v>
      </c>
      <c r="C321" t="s">
        <v>17</v>
      </c>
      <c r="D321" t="s">
        <v>28</v>
      </c>
    </row>
    <row r="322" spans="1:4" x14ac:dyDescent="0.3">
      <c r="A322" t="s">
        <v>646</v>
      </c>
      <c r="B322" t="s">
        <v>647</v>
      </c>
      <c r="C322" t="s">
        <v>17</v>
      </c>
      <c r="D322" t="s">
        <v>28</v>
      </c>
    </row>
    <row r="323" spans="1:4" x14ac:dyDescent="0.3">
      <c r="A323" t="s">
        <v>648</v>
      </c>
      <c r="B323" t="s">
        <v>649</v>
      </c>
      <c r="C323" t="s">
        <v>31</v>
      </c>
      <c r="D323" t="s">
        <v>11</v>
      </c>
    </row>
    <row r="324" spans="1:4" x14ac:dyDescent="0.3">
      <c r="A324" t="s">
        <v>650</v>
      </c>
      <c r="B324" t="s">
        <v>651</v>
      </c>
      <c r="C324" t="s">
        <v>10</v>
      </c>
      <c r="D324" t="s">
        <v>7</v>
      </c>
    </row>
    <row r="325" spans="1:4" x14ac:dyDescent="0.3">
      <c r="A325" t="s">
        <v>652</v>
      </c>
      <c r="B325" t="s">
        <v>653</v>
      </c>
      <c r="C325" t="s">
        <v>10</v>
      </c>
      <c r="D325" t="s">
        <v>11</v>
      </c>
    </row>
    <row r="326" spans="1:4" x14ac:dyDescent="0.3">
      <c r="A326" t="s">
        <v>654</v>
      </c>
      <c r="B326" t="s">
        <v>655</v>
      </c>
      <c r="C326" t="s">
        <v>17</v>
      </c>
      <c r="D326" t="s">
        <v>28</v>
      </c>
    </row>
    <row r="327" spans="1:4" x14ac:dyDescent="0.3">
      <c r="A327" t="s">
        <v>656</v>
      </c>
      <c r="B327" t="s">
        <v>657</v>
      </c>
      <c r="C327" t="s">
        <v>10</v>
      </c>
      <c r="D327" t="s">
        <v>28</v>
      </c>
    </row>
    <row r="328" spans="1:4" x14ac:dyDescent="0.3">
      <c r="A328" t="s">
        <v>658</v>
      </c>
      <c r="B328" t="s">
        <v>659</v>
      </c>
      <c r="C328" t="s">
        <v>14</v>
      </c>
      <c r="D328" t="s">
        <v>28</v>
      </c>
    </row>
    <row r="329" spans="1:4" x14ac:dyDescent="0.3">
      <c r="A329" t="s">
        <v>660</v>
      </c>
      <c r="B329" t="s">
        <v>661</v>
      </c>
      <c r="C329" t="s">
        <v>10</v>
      </c>
      <c r="D329" t="s">
        <v>7</v>
      </c>
    </row>
    <row r="330" spans="1:4" x14ac:dyDescent="0.3">
      <c r="A330" t="s">
        <v>662</v>
      </c>
      <c r="B330" t="s">
        <v>663</v>
      </c>
      <c r="C330" t="s">
        <v>17</v>
      </c>
      <c r="D330" t="s">
        <v>28</v>
      </c>
    </row>
    <row r="331" spans="1:4" x14ac:dyDescent="0.3">
      <c r="A331" t="s">
        <v>664</v>
      </c>
      <c r="B331" t="s">
        <v>665</v>
      </c>
      <c r="C331" t="s">
        <v>10</v>
      </c>
      <c r="D331" t="s">
        <v>11</v>
      </c>
    </row>
    <row r="332" spans="1:4" x14ac:dyDescent="0.3">
      <c r="A332" t="s">
        <v>666</v>
      </c>
      <c r="B332" t="s">
        <v>667</v>
      </c>
      <c r="C332" t="s">
        <v>10</v>
      </c>
      <c r="D332" t="s">
        <v>28</v>
      </c>
    </row>
    <row r="333" spans="1:4" x14ac:dyDescent="0.3">
      <c r="A333" t="s">
        <v>668</v>
      </c>
      <c r="B333" t="s">
        <v>669</v>
      </c>
      <c r="C333" t="s">
        <v>6</v>
      </c>
      <c r="D333" t="s">
        <v>7</v>
      </c>
    </row>
    <row r="334" spans="1:4" x14ac:dyDescent="0.3">
      <c r="A334" t="s">
        <v>670</v>
      </c>
      <c r="B334" t="s">
        <v>671</v>
      </c>
      <c r="C334" t="s">
        <v>6</v>
      </c>
      <c r="D334" t="s">
        <v>28</v>
      </c>
    </row>
    <row r="335" spans="1:4" x14ac:dyDescent="0.3">
      <c r="A335" t="s">
        <v>672</v>
      </c>
      <c r="B335" t="s">
        <v>673</v>
      </c>
      <c r="C335" t="s">
        <v>10</v>
      </c>
      <c r="D335" t="s">
        <v>11</v>
      </c>
    </row>
    <row r="336" spans="1:4" x14ac:dyDescent="0.3">
      <c r="A336" t="s">
        <v>674</v>
      </c>
      <c r="B336" t="s">
        <v>675</v>
      </c>
      <c r="C336" t="s">
        <v>10</v>
      </c>
      <c r="D336" t="s">
        <v>11</v>
      </c>
    </row>
    <row r="337" spans="1:4" x14ac:dyDescent="0.3">
      <c r="A337" t="s">
        <v>676</v>
      </c>
      <c r="B337" t="s">
        <v>677</v>
      </c>
      <c r="C337" t="s">
        <v>17</v>
      </c>
      <c r="D337" t="s">
        <v>11</v>
      </c>
    </row>
    <row r="338" spans="1:4" x14ac:dyDescent="0.3">
      <c r="A338" t="s">
        <v>678</v>
      </c>
      <c r="B338" t="s">
        <v>679</v>
      </c>
      <c r="C338" t="s">
        <v>31</v>
      </c>
      <c r="D338" t="s">
        <v>7</v>
      </c>
    </row>
    <row r="339" spans="1:4" x14ac:dyDescent="0.3">
      <c r="A339" t="s">
        <v>680</v>
      </c>
      <c r="B339" t="s">
        <v>681</v>
      </c>
      <c r="C339" t="s">
        <v>31</v>
      </c>
      <c r="D339" t="s">
        <v>11</v>
      </c>
    </row>
    <row r="340" spans="1:4" x14ac:dyDescent="0.3">
      <c r="A340" t="s">
        <v>682</v>
      </c>
      <c r="B340" t="s">
        <v>683</v>
      </c>
      <c r="C340" t="s">
        <v>6</v>
      </c>
      <c r="D340" t="s">
        <v>11</v>
      </c>
    </row>
    <row r="341" spans="1:4" x14ac:dyDescent="0.3">
      <c r="A341" t="s">
        <v>684</v>
      </c>
      <c r="B341" t="s">
        <v>685</v>
      </c>
      <c r="C341" t="s">
        <v>14</v>
      </c>
      <c r="D341" t="s">
        <v>11</v>
      </c>
    </row>
    <row r="342" spans="1:4" x14ac:dyDescent="0.3">
      <c r="A342" t="s">
        <v>538</v>
      </c>
      <c r="B342" t="s">
        <v>686</v>
      </c>
      <c r="C342" t="s">
        <v>6</v>
      </c>
      <c r="D342" t="s">
        <v>28</v>
      </c>
    </row>
    <row r="343" spans="1:4" x14ac:dyDescent="0.3">
      <c r="A343" t="s">
        <v>687</v>
      </c>
      <c r="B343" t="s">
        <v>688</v>
      </c>
      <c r="C343" t="s">
        <v>17</v>
      </c>
      <c r="D343" t="s">
        <v>11</v>
      </c>
    </row>
    <row r="344" spans="1:4" x14ac:dyDescent="0.3">
      <c r="A344" t="s">
        <v>689</v>
      </c>
      <c r="B344" t="s">
        <v>690</v>
      </c>
      <c r="C344" t="s">
        <v>10</v>
      </c>
      <c r="D344" t="s">
        <v>11</v>
      </c>
    </row>
    <row r="345" spans="1:4" x14ac:dyDescent="0.3">
      <c r="A345" t="s">
        <v>691</v>
      </c>
      <c r="B345" t="s">
        <v>692</v>
      </c>
      <c r="C345" t="s">
        <v>31</v>
      </c>
      <c r="D345" t="s">
        <v>28</v>
      </c>
    </row>
    <row r="346" spans="1:4" x14ac:dyDescent="0.3">
      <c r="A346" t="s">
        <v>693</v>
      </c>
      <c r="B346" t="s">
        <v>694</v>
      </c>
      <c r="C346" t="s">
        <v>14</v>
      </c>
      <c r="D346" t="s">
        <v>7</v>
      </c>
    </row>
    <row r="347" spans="1:4" x14ac:dyDescent="0.3">
      <c r="A347" t="s">
        <v>695</v>
      </c>
      <c r="B347" t="s">
        <v>696</v>
      </c>
      <c r="C347" t="s">
        <v>17</v>
      </c>
      <c r="D347" t="s">
        <v>11</v>
      </c>
    </row>
    <row r="348" spans="1:4" x14ac:dyDescent="0.3">
      <c r="A348" t="s">
        <v>697</v>
      </c>
      <c r="B348" t="s">
        <v>698</v>
      </c>
      <c r="C348" t="s">
        <v>17</v>
      </c>
      <c r="D348" t="s">
        <v>28</v>
      </c>
    </row>
    <row r="349" spans="1:4" x14ac:dyDescent="0.3">
      <c r="A349" t="s">
        <v>699</v>
      </c>
      <c r="B349" t="s">
        <v>700</v>
      </c>
      <c r="C349" t="s">
        <v>6</v>
      </c>
      <c r="D349" t="s">
        <v>28</v>
      </c>
    </row>
    <row r="350" spans="1:4" x14ac:dyDescent="0.3">
      <c r="A350" t="s">
        <v>701</v>
      </c>
      <c r="B350" t="s">
        <v>702</v>
      </c>
      <c r="C350" t="s">
        <v>14</v>
      </c>
      <c r="D350" t="s">
        <v>28</v>
      </c>
    </row>
    <row r="351" spans="1:4" x14ac:dyDescent="0.3">
      <c r="A351" t="s">
        <v>703</v>
      </c>
      <c r="B351" t="s">
        <v>704</v>
      </c>
      <c r="C351" t="s">
        <v>17</v>
      </c>
      <c r="D351" t="s">
        <v>11</v>
      </c>
    </row>
    <row r="352" spans="1:4" x14ac:dyDescent="0.3">
      <c r="A352" t="s">
        <v>705</v>
      </c>
      <c r="B352" t="s">
        <v>706</v>
      </c>
      <c r="C352" t="s">
        <v>14</v>
      </c>
      <c r="D352" t="s">
        <v>11</v>
      </c>
    </row>
    <row r="353" spans="1:4" x14ac:dyDescent="0.3">
      <c r="A353" t="s">
        <v>707</v>
      </c>
      <c r="B353" t="s">
        <v>708</v>
      </c>
      <c r="C353" t="s">
        <v>6</v>
      </c>
      <c r="D353" t="s">
        <v>7</v>
      </c>
    </row>
    <row r="354" spans="1:4" x14ac:dyDescent="0.3">
      <c r="A354" t="s">
        <v>709</v>
      </c>
      <c r="B354" t="s">
        <v>710</v>
      </c>
      <c r="C354" t="s">
        <v>14</v>
      </c>
      <c r="D354" t="s">
        <v>7</v>
      </c>
    </row>
    <row r="355" spans="1:4" x14ac:dyDescent="0.3">
      <c r="A355" t="s">
        <v>711</v>
      </c>
      <c r="B355" t="s">
        <v>712</v>
      </c>
      <c r="C355" t="s">
        <v>10</v>
      </c>
      <c r="D355" t="s">
        <v>7</v>
      </c>
    </row>
    <row r="356" spans="1:4" x14ac:dyDescent="0.3">
      <c r="A356" t="s">
        <v>713</v>
      </c>
      <c r="B356" t="s">
        <v>714</v>
      </c>
      <c r="C356" t="s">
        <v>31</v>
      </c>
      <c r="D356" t="s">
        <v>28</v>
      </c>
    </row>
    <row r="357" spans="1:4" x14ac:dyDescent="0.3">
      <c r="A357" t="s">
        <v>715</v>
      </c>
      <c r="B357" t="s">
        <v>716</v>
      </c>
      <c r="C357" t="s">
        <v>14</v>
      </c>
      <c r="D357" t="s">
        <v>28</v>
      </c>
    </row>
    <row r="358" spans="1:4" x14ac:dyDescent="0.3">
      <c r="A358" t="s">
        <v>104</v>
      </c>
      <c r="B358" t="s">
        <v>717</v>
      </c>
      <c r="C358" t="s">
        <v>14</v>
      </c>
      <c r="D358" t="s">
        <v>7</v>
      </c>
    </row>
    <row r="359" spans="1:4" x14ac:dyDescent="0.3">
      <c r="A359" t="s">
        <v>718</v>
      </c>
      <c r="B359" t="s">
        <v>719</v>
      </c>
      <c r="C359" t="s">
        <v>31</v>
      </c>
      <c r="D359" t="s">
        <v>28</v>
      </c>
    </row>
    <row r="360" spans="1:4" x14ac:dyDescent="0.3">
      <c r="A360" t="s">
        <v>720</v>
      </c>
      <c r="B360" t="s">
        <v>721</v>
      </c>
      <c r="C360" t="s">
        <v>14</v>
      </c>
      <c r="D360" t="s">
        <v>11</v>
      </c>
    </row>
    <row r="361" spans="1:4" x14ac:dyDescent="0.3">
      <c r="A361" t="s">
        <v>722</v>
      </c>
      <c r="B361" t="s">
        <v>723</v>
      </c>
      <c r="C361" t="s">
        <v>14</v>
      </c>
      <c r="D361" t="s">
        <v>11</v>
      </c>
    </row>
    <row r="362" spans="1:4" x14ac:dyDescent="0.3">
      <c r="A362" t="s">
        <v>724</v>
      </c>
      <c r="B362" t="s">
        <v>725</v>
      </c>
      <c r="C362" t="s">
        <v>17</v>
      </c>
      <c r="D362" t="s">
        <v>7</v>
      </c>
    </row>
    <row r="363" spans="1:4" x14ac:dyDescent="0.3">
      <c r="A363" t="s">
        <v>726</v>
      </c>
      <c r="B363" t="s">
        <v>727</v>
      </c>
      <c r="C363" t="s">
        <v>17</v>
      </c>
      <c r="D363" t="s">
        <v>7</v>
      </c>
    </row>
    <row r="364" spans="1:4" x14ac:dyDescent="0.3">
      <c r="A364" t="s">
        <v>728</v>
      </c>
      <c r="B364" t="s">
        <v>729</v>
      </c>
      <c r="C364" t="s">
        <v>14</v>
      </c>
      <c r="D364" t="s">
        <v>7</v>
      </c>
    </row>
    <row r="365" spans="1:4" x14ac:dyDescent="0.3">
      <c r="A365" t="s">
        <v>730</v>
      </c>
      <c r="B365" t="s">
        <v>731</v>
      </c>
      <c r="C365" t="s">
        <v>10</v>
      </c>
      <c r="D365" t="s">
        <v>28</v>
      </c>
    </row>
    <row r="366" spans="1:4" x14ac:dyDescent="0.3">
      <c r="A366" t="s">
        <v>732</v>
      </c>
      <c r="B366" t="s">
        <v>733</v>
      </c>
      <c r="C366" t="s">
        <v>10</v>
      </c>
      <c r="D366" t="s">
        <v>11</v>
      </c>
    </row>
    <row r="367" spans="1:4" x14ac:dyDescent="0.3">
      <c r="A367" t="s">
        <v>734</v>
      </c>
      <c r="B367" t="s">
        <v>735</v>
      </c>
      <c r="C367" t="s">
        <v>31</v>
      </c>
      <c r="D367" t="s">
        <v>11</v>
      </c>
    </row>
    <row r="368" spans="1:4" x14ac:dyDescent="0.3">
      <c r="A368" t="s">
        <v>736</v>
      </c>
      <c r="B368" t="s">
        <v>737</v>
      </c>
      <c r="C368" t="s">
        <v>17</v>
      </c>
      <c r="D368" t="s">
        <v>7</v>
      </c>
    </row>
    <row r="369" spans="1:4" x14ac:dyDescent="0.3">
      <c r="A369" t="s">
        <v>738</v>
      </c>
      <c r="B369" t="s">
        <v>739</v>
      </c>
      <c r="C369" t="s">
        <v>31</v>
      </c>
      <c r="D369" t="s">
        <v>7</v>
      </c>
    </row>
    <row r="370" spans="1:4" x14ac:dyDescent="0.3">
      <c r="A370" t="s">
        <v>740</v>
      </c>
      <c r="B370" t="s">
        <v>741</v>
      </c>
      <c r="C370" t="s">
        <v>17</v>
      </c>
      <c r="D370" t="s">
        <v>7</v>
      </c>
    </row>
    <row r="371" spans="1:4" x14ac:dyDescent="0.3">
      <c r="A371" t="s">
        <v>742</v>
      </c>
      <c r="B371" t="s">
        <v>743</v>
      </c>
      <c r="C371" t="s">
        <v>17</v>
      </c>
      <c r="D371" t="s">
        <v>11</v>
      </c>
    </row>
    <row r="372" spans="1:4" x14ac:dyDescent="0.3">
      <c r="A372" t="s">
        <v>744</v>
      </c>
      <c r="B372" t="s">
        <v>745</v>
      </c>
      <c r="C372" t="s">
        <v>17</v>
      </c>
      <c r="D372" t="s">
        <v>28</v>
      </c>
    </row>
    <row r="373" spans="1:4" x14ac:dyDescent="0.3">
      <c r="A373" t="s">
        <v>746</v>
      </c>
      <c r="B373" t="s">
        <v>747</v>
      </c>
      <c r="C373" t="s">
        <v>14</v>
      </c>
      <c r="D373" t="s">
        <v>7</v>
      </c>
    </row>
    <row r="374" spans="1:4" x14ac:dyDescent="0.3">
      <c r="A374" t="s">
        <v>748</v>
      </c>
      <c r="B374" t="s">
        <v>749</v>
      </c>
      <c r="C374" t="s">
        <v>17</v>
      </c>
      <c r="D374" t="s">
        <v>7</v>
      </c>
    </row>
    <row r="375" spans="1:4" x14ac:dyDescent="0.3">
      <c r="A375" t="s">
        <v>212</v>
      </c>
      <c r="B375" t="s">
        <v>750</v>
      </c>
      <c r="C375" t="s">
        <v>14</v>
      </c>
      <c r="D375" t="s">
        <v>28</v>
      </c>
    </row>
    <row r="376" spans="1:4" x14ac:dyDescent="0.3">
      <c r="A376" t="s">
        <v>751</v>
      </c>
      <c r="B376" t="s">
        <v>752</v>
      </c>
      <c r="C376" t="s">
        <v>17</v>
      </c>
      <c r="D376" t="s">
        <v>28</v>
      </c>
    </row>
    <row r="377" spans="1:4" x14ac:dyDescent="0.3">
      <c r="A377" t="s">
        <v>753</v>
      </c>
      <c r="B377" t="s">
        <v>754</v>
      </c>
      <c r="C377" t="s">
        <v>6</v>
      </c>
      <c r="D377" t="s">
        <v>7</v>
      </c>
    </row>
    <row r="378" spans="1:4" x14ac:dyDescent="0.3">
      <c r="A378" t="s">
        <v>755</v>
      </c>
      <c r="B378" t="s">
        <v>756</v>
      </c>
      <c r="C378" t="s">
        <v>10</v>
      </c>
      <c r="D378" t="s">
        <v>11</v>
      </c>
    </row>
    <row r="379" spans="1:4" x14ac:dyDescent="0.3">
      <c r="A379" t="s">
        <v>757</v>
      </c>
      <c r="B379" t="s">
        <v>758</v>
      </c>
      <c r="C379" t="s">
        <v>17</v>
      </c>
      <c r="D379" t="s">
        <v>7</v>
      </c>
    </row>
    <row r="380" spans="1:4" x14ac:dyDescent="0.3">
      <c r="A380" t="s">
        <v>759</v>
      </c>
      <c r="B380" t="s">
        <v>760</v>
      </c>
      <c r="C380" t="s">
        <v>10</v>
      </c>
      <c r="D380" t="s">
        <v>7</v>
      </c>
    </row>
    <row r="381" spans="1:4" x14ac:dyDescent="0.3">
      <c r="A381" t="s">
        <v>761</v>
      </c>
      <c r="B381" t="s">
        <v>762</v>
      </c>
      <c r="C381" t="s">
        <v>6</v>
      </c>
      <c r="D381" t="s">
        <v>28</v>
      </c>
    </row>
    <row r="382" spans="1:4" x14ac:dyDescent="0.3">
      <c r="A382" t="s">
        <v>763</v>
      </c>
      <c r="B382" t="s">
        <v>764</v>
      </c>
      <c r="C382" t="s">
        <v>10</v>
      </c>
      <c r="D382" t="s">
        <v>7</v>
      </c>
    </row>
    <row r="383" spans="1:4" x14ac:dyDescent="0.3">
      <c r="A383" t="s">
        <v>765</v>
      </c>
      <c r="B383" t="s">
        <v>766</v>
      </c>
      <c r="C383" t="s">
        <v>31</v>
      </c>
      <c r="D383" t="s">
        <v>11</v>
      </c>
    </row>
    <row r="384" spans="1:4" x14ac:dyDescent="0.3">
      <c r="A384" t="s">
        <v>767</v>
      </c>
      <c r="B384" t="s">
        <v>768</v>
      </c>
      <c r="C384" t="s">
        <v>17</v>
      </c>
      <c r="D384" t="s">
        <v>7</v>
      </c>
    </row>
    <row r="385" spans="1:4" x14ac:dyDescent="0.3">
      <c r="A385" t="s">
        <v>769</v>
      </c>
      <c r="B385" t="s">
        <v>770</v>
      </c>
      <c r="C385" t="s">
        <v>10</v>
      </c>
      <c r="D385" t="s">
        <v>11</v>
      </c>
    </row>
    <row r="386" spans="1:4" x14ac:dyDescent="0.3">
      <c r="A386" t="s">
        <v>771</v>
      </c>
      <c r="B386" t="s">
        <v>772</v>
      </c>
      <c r="C386" t="s">
        <v>17</v>
      </c>
      <c r="D386" t="s">
        <v>11</v>
      </c>
    </row>
    <row r="387" spans="1:4" x14ac:dyDescent="0.3">
      <c r="A387" t="s">
        <v>773</v>
      </c>
      <c r="B387" t="s">
        <v>774</v>
      </c>
      <c r="C387" t="s">
        <v>6</v>
      </c>
      <c r="D387" t="s">
        <v>11</v>
      </c>
    </row>
    <row r="388" spans="1:4" x14ac:dyDescent="0.3">
      <c r="A388" t="s">
        <v>775</v>
      </c>
      <c r="B388" t="s">
        <v>776</v>
      </c>
      <c r="C388" t="s">
        <v>6</v>
      </c>
      <c r="D388" t="s">
        <v>28</v>
      </c>
    </row>
    <row r="389" spans="1:4" x14ac:dyDescent="0.3">
      <c r="A389" t="s">
        <v>777</v>
      </c>
      <c r="B389" t="s">
        <v>778</v>
      </c>
      <c r="C389" t="s">
        <v>10</v>
      </c>
      <c r="D389" t="s">
        <v>7</v>
      </c>
    </row>
    <row r="390" spans="1:4" x14ac:dyDescent="0.3">
      <c r="A390" t="s">
        <v>779</v>
      </c>
      <c r="B390" t="s">
        <v>780</v>
      </c>
      <c r="C390" t="s">
        <v>17</v>
      </c>
      <c r="D390" t="s">
        <v>28</v>
      </c>
    </row>
    <row r="391" spans="1:4" x14ac:dyDescent="0.3">
      <c r="A391" t="s">
        <v>781</v>
      </c>
      <c r="B391" t="s">
        <v>782</v>
      </c>
      <c r="C391" t="s">
        <v>10</v>
      </c>
      <c r="D391" t="s">
        <v>7</v>
      </c>
    </row>
    <row r="392" spans="1:4" x14ac:dyDescent="0.3">
      <c r="A392" t="s">
        <v>783</v>
      </c>
      <c r="B392" t="s">
        <v>784</v>
      </c>
      <c r="C392" t="s">
        <v>14</v>
      </c>
      <c r="D392" t="s">
        <v>28</v>
      </c>
    </row>
    <row r="393" spans="1:4" x14ac:dyDescent="0.3">
      <c r="A393" t="s">
        <v>785</v>
      </c>
      <c r="B393" t="s">
        <v>786</v>
      </c>
      <c r="C393" t="s">
        <v>31</v>
      </c>
      <c r="D393" t="s">
        <v>11</v>
      </c>
    </row>
    <row r="394" spans="1:4" x14ac:dyDescent="0.3">
      <c r="A394" t="s">
        <v>787</v>
      </c>
      <c r="B394" t="s">
        <v>788</v>
      </c>
      <c r="C394" t="s">
        <v>17</v>
      </c>
      <c r="D394" t="s">
        <v>7</v>
      </c>
    </row>
    <row r="395" spans="1:4" x14ac:dyDescent="0.3">
      <c r="A395" t="s">
        <v>789</v>
      </c>
      <c r="B395" t="s">
        <v>790</v>
      </c>
      <c r="C395" t="s">
        <v>17</v>
      </c>
      <c r="D395" t="s">
        <v>11</v>
      </c>
    </row>
    <row r="396" spans="1:4" x14ac:dyDescent="0.3">
      <c r="A396" t="s">
        <v>791</v>
      </c>
      <c r="B396" t="s">
        <v>792</v>
      </c>
      <c r="C396" t="s">
        <v>31</v>
      </c>
      <c r="D396" t="s">
        <v>11</v>
      </c>
    </row>
    <row r="397" spans="1:4" x14ac:dyDescent="0.3">
      <c r="A397" t="s">
        <v>793</v>
      </c>
      <c r="B397" t="s">
        <v>794</v>
      </c>
      <c r="C397" t="s">
        <v>14</v>
      </c>
      <c r="D397" t="s">
        <v>11</v>
      </c>
    </row>
    <row r="398" spans="1:4" x14ac:dyDescent="0.3">
      <c r="A398" t="s">
        <v>795</v>
      </c>
      <c r="B398" t="s">
        <v>796</v>
      </c>
      <c r="C398" t="s">
        <v>6</v>
      </c>
      <c r="D398" t="s">
        <v>28</v>
      </c>
    </row>
    <row r="399" spans="1:4" x14ac:dyDescent="0.3">
      <c r="A399" t="s">
        <v>797</v>
      </c>
      <c r="B399" t="s">
        <v>798</v>
      </c>
      <c r="C399" t="s">
        <v>31</v>
      </c>
      <c r="D399" t="s">
        <v>28</v>
      </c>
    </row>
    <row r="400" spans="1:4" x14ac:dyDescent="0.3">
      <c r="A400" t="s">
        <v>799</v>
      </c>
      <c r="B400" t="s">
        <v>800</v>
      </c>
      <c r="C400" t="s">
        <v>10</v>
      </c>
      <c r="D400" t="s">
        <v>11</v>
      </c>
    </row>
    <row r="401" spans="1:4" x14ac:dyDescent="0.3">
      <c r="A401" t="s">
        <v>801</v>
      </c>
      <c r="B401" t="s">
        <v>802</v>
      </c>
      <c r="C401" t="s">
        <v>6</v>
      </c>
      <c r="D401" t="s">
        <v>28</v>
      </c>
    </row>
    <row r="402" spans="1:4" x14ac:dyDescent="0.3">
      <c r="A402" t="s">
        <v>803</v>
      </c>
      <c r="B402" t="s">
        <v>804</v>
      </c>
      <c r="C402" t="s">
        <v>31</v>
      </c>
      <c r="D402" t="s">
        <v>11</v>
      </c>
    </row>
    <row r="403" spans="1:4" x14ac:dyDescent="0.3">
      <c r="A403" t="s">
        <v>805</v>
      </c>
      <c r="B403" t="s">
        <v>806</v>
      </c>
      <c r="C403" t="s">
        <v>6</v>
      </c>
      <c r="D403" t="s">
        <v>11</v>
      </c>
    </row>
    <row r="404" spans="1:4" x14ac:dyDescent="0.3">
      <c r="A404" t="s">
        <v>807</v>
      </c>
      <c r="B404" t="s">
        <v>808</v>
      </c>
      <c r="C404" t="s">
        <v>10</v>
      </c>
      <c r="D404" t="s">
        <v>11</v>
      </c>
    </row>
    <row r="405" spans="1:4" x14ac:dyDescent="0.3">
      <c r="A405" t="s">
        <v>809</v>
      </c>
      <c r="B405" t="s">
        <v>810</v>
      </c>
      <c r="C405" t="s">
        <v>31</v>
      </c>
      <c r="D405" t="s">
        <v>7</v>
      </c>
    </row>
    <row r="406" spans="1:4" x14ac:dyDescent="0.3">
      <c r="A406" t="s">
        <v>811</v>
      </c>
      <c r="B406" t="s">
        <v>812</v>
      </c>
      <c r="C406" t="s">
        <v>10</v>
      </c>
      <c r="D406" t="s">
        <v>7</v>
      </c>
    </row>
    <row r="407" spans="1:4" x14ac:dyDescent="0.3">
      <c r="A407" t="s">
        <v>813</v>
      </c>
      <c r="B407" t="s">
        <v>814</v>
      </c>
      <c r="C407" t="s">
        <v>31</v>
      </c>
      <c r="D407" t="s">
        <v>7</v>
      </c>
    </row>
    <row r="408" spans="1:4" x14ac:dyDescent="0.3">
      <c r="A408" t="s">
        <v>815</v>
      </c>
      <c r="B408" t="s">
        <v>816</v>
      </c>
      <c r="C408" t="s">
        <v>17</v>
      </c>
      <c r="D408" t="s">
        <v>11</v>
      </c>
    </row>
    <row r="409" spans="1:4" x14ac:dyDescent="0.3">
      <c r="A409" t="s">
        <v>817</v>
      </c>
      <c r="B409" t="s">
        <v>818</v>
      </c>
      <c r="C409" t="s">
        <v>6</v>
      </c>
      <c r="D409" t="s">
        <v>28</v>
      </c>
    </row>
    <row r="410" spans="1:4" x14ac:dyDescent="0.3">
      <c r="A410" t="s">
        <v>819</v>
      </c>
      <c r="B410" t="s">
        <v>820</v>
      </c>
      <c r="C410" t="s">
        <v>6</v>
      </c>
      <c r="D410" t="s">
        <v>7</v>
      </c>
    </row>
    <row r="411" spans="1:4" x14ac:dyDescent="0.3">
      <c r="A411" t="s">
        <v>821</v>
      </c>
      <c r="B411" t="s">
        <v>822</v>
      </c>
      <c r="C411" t="s">
        <v>6</v>
      </c>
      <c r="D411" t="s">
        <v>28</v>
      </c>
    </row>
    <row r="412" spans="1:4" x14ac:dyDescent="0.3">
      <c r="A412" t="s">
        <v>421</v>
      </c>
      <c r="B412" t="s">
        <v>823</v>
      </c>
      <c r="C412" t="s">
        <v>14</v>
      </c>
      <c r="D412" t="s">
        <v>28</v>
      </c>
    </row>
    <row r="413" spans="1:4" x14ac:dyDescent="0.3">
      <c r="A413" t="s">
        <v>308</v>
      </c>
      <c r="B413" t="s">
        <v>824</v>
      </c>
      <c r="C413" t="s">
        <v>17</v>
      </c>
      <c r="D413" t="s">
        <v>7</v>
      </c>
    </row>
    <row r="414" spans="1:4" x14ac:dyDescent="0.3">
      <c r="A414" t="s">
        <v>825</v>
      </c>
      <c r="B414" t="s">
        <v>826</v>
      </c>
      <c r="C414" t="s">
        <v>14</v>
      </c>
      <c r="D414" t="s">
        <v>7</v>
      </c>
    </row>
    <row r="415" spans="1:4" x14ac:dyDescent="0.3">
      <c r="A415" t="s">
        <v>827</v>
      </c>
      <c r="B415" t="s">
        <v>828</v>
      </c>
      <c r="C415" t="s">
        <v>10</v>
      </c>
      <c r="D415" t="s">
        <v>7</v>
      </c>
    </row>
    <row r="416" spans="1:4" x14ac:dyDescent="0.3">
      <c r="A416" t="s">
        <v>829</v>
      </c>
      <c r="B416" t="s">
        <v>830</v>
      </c>
      <c r="C416" t="s">
        <v>6</v>
      </c>
      <c r="D416" t="s">
        <v>7</v>
      </c>
    </row>
    <row r="417" spans="1:4" x14ac:dyDescent="0.3">
      <c r="A417" t="s">
        <v>831</v>
      </c>
      <c r="B417" t="s">
        <v>832</v>
      </c>
      <c r="C417" t="s">
        <v>10</v>
      </c>
      <c r="D417" t="s">
        <v>11</v>
      </c>
    </row>
    <row r="418" spans="1:4" x14ac:dyDescent="0.3">
      <c r="A418" t="s">
        <v>833</v>
      </c>
      <c r="B418" t="s">
        <v>834</v>
      </c>
      <c r="C418" t="s">
        <v>17</v>
      </c>
      <c r="D418" t="s">
        <v>7</v>
      </c>
    </row>
    <row r="419" spans="1:4" x14ac:dyDescent="0.3">
      <c r="A419" t="s">
        <v>835</v>
      </c>
      <c r="B419" t="s">
        <v>836</v>
      </c>
      <c r="C419" t="s">
        <v>31</v>
      </c>
      <c r="D419" t="s">
        <v>11</v>
      </c>
    </row>
    <row r="420" spans="1:4" x14ac:dyDescent="0.3">
      <c r="A420" t="s">
        <v>837</v>
      </c>
      <c r="B420" t="s">
        <v>838</v>
      </c>
      <c r="C420" t="s">
        <v>31</v>
      </c>
      <c r="D420" t="s">
        <v>7</v>
      </c>
    </row>
    <row r="421" spans="1:4" x14ac:dyDescent="0.3">
      <c r="A421" t="s">
        <v>839</v>
      </c>
      <c r="B421" t="s">
        <v>840</v>
      </c>
      <c r="C421" t="s">
        <v>17</v>
      </c>
      <c r="D421" t="s">
        <v>28</v>
      </c>
    </row>
    <row r="422" spans="1:4" x14ac:dyDescent="0.3">
      <c r="A422" t="s">
        <v>841</v>
      </c>
      <c r="B422" t="s">
        <v>842</v>
      </c>
      <c r="C422" t="s">
        <v>14</v>
      </c>
      <c r="D422" t="s">
        <v>7</v>
      </c>
    </row>
    <row r="423" spans="1:4" x14ac:dyDescent="0.3">
      <c r="A423" t="s">
        <v>843</v>
      </c>
      <c r="B423" t="s">
        <v>844</v>
      </c>
      <c r="C423" t="s">
        <v>10</v>
      </c>
      <c r="D423" t="s">
        <v>11</v>
      </c>
    </row>
    <row r="424" spans="1:4" x14ac:dyDescent="0.3">
      <c r="A424" t="s">
        <v>845</v>
      </c>
      <c r="B424" t="s">
        <v>846</v>
      </c>
      <c r="C424" t="s">
        <v>31</v>
      </c>
      <c r="D424" t="s">
        <v>7</v>
      </c>
    </row>
    <row r="425" spans="1:4" x14ac:dyDescent="0.3">
      <c r="A425" t="s">
        <v>847</v>
      </c>
      <c r="B425" t="s">
        <v>848</v>
      </c>
      <c r="C425" t="s">
        <v>10</v>
      </c>
      <c r="D425" t="s">
        <v>7</v>
      </c>
    </row>
    <row r="426" spans="1:4" x14ac:dyDescent="0.3">
      <c r="A426" t="s">
        <v>849</v>
      </c>
      <c r="B426" t="s">
        <v>850</v>
      </c>
      <c r="C426" t="s">
        <v>6</v>
      </c>
      <c r="D426" t="s">
        <v>28</v>
      </c>
    </row>
    <row r="427" spans="1:4" x14ac:dyDescent="0.3">
      <c r="A427" t="s">
        <v>851</v>
      </c>
      <c r="B427" t="s">
        <v>852</v>
      </c>
      <c r="C427" t="s">
        <v>31</v>
      </c>
      <c r="D427" t="s">
        <v>28</v>
      </c>
    </row>
    <row r="428" spans="1:4" x14ac:dyDescent="0.3">
      <c r="A428" t="s">
        <v>853</v>
      </c>
      <c r="B428" t="s">
        <v>854</v>
      </c>
      <c r="C428" t="s">
        <v>14</v>
      </c>
      <c r="D428" t="s">
        <v>28</v>
      </c>
    </row>
    <row r="429" spans="1:4" x14ac:dyDescent="0.3">
      <c r="A429" t="s">
        <v>855</v>
      </c>
      <c r="B429" t="s">
        <v>856</v>
      </c>
      <c r="C429" t="s">
        <v>10</v>
      </c>
      <c r="D429" t="s">
        <v>11</v>
      </c>
    </row>
    <row r="430" spans="1:4" x14ac:dyDescent="0.3">
      <c r="A430" t="s">
        <v>857</v>
      </c>
      <c r="B430" t="s">
        <v>858</v>
      </c>
      <c r="C430" t="s">
        <v>14</v>
      </c>
      <c r="D430" t="s">
        <v>7</v>
      </c>
    </row>
    <row r="431" spans="1:4" x14ac:dyDescent="0.3">
      <c r="A431" t="s">
        <v>859</v>
      </c>
      <c r="B431" t="s">
        <v>860</v>
      </c>
      <c r="C431" t="s">
        <v>10</v>
      </c>
      <c r="D431" t="s">
        <v>28</v>
      </c>
    </row>
    <row r="432" spans="1:4" x14ac:dyDescent="0.3">
      <c r="A432" t="s">
        <v>861</v>
      </c>
      <c r="B432" t="s">
        <v>862</v>
      </c>
      <c r="C432" t="s">
        <v>17</v>
      </c>
      <c r="D432" t="s">
        <v>11</v>
      </c>
    </row>
    <row r="433" spans="1:4" x14ac:dyDescent="0.3">
      <c r="A433" t="s">
        <v>863</v>
      </c>
      <c r="B433" t="s">
        <v>864</v>
      </c>
      <c r="C433" t="s">
        <v>17</v>
      </c>
      <c r="D433" t="s">
        <v>11</v>
      </c>
    </row>
    <row r="434" spans="1:4" x14ac:dyDescent="0.3">
      <c r="A434" t="s">
        <v>865</v>
      </c>
      <c r="B434" t="s">
        <v>866</v>
      </c>
      <c r="C434" t="s">
        <v>17</v>
      </c>
      <c r="D434" t="s">
        <v>11</v>
      </c>
    </row>
    <row r="435" spans="1:4" x14ac:dyDescent="0.3">
      <c r="A435" t="s">
        <v>867</v>
      </c>
      <c r="B435" t="s">
        <v>868</v>
      </c>
      <c r="C435" t="s">
        <v>17</v>
      </c>
      <c r="D435" t="s">
        <v>7</v>
      </c>
    </row>
    <row r="436" spans="1:4" x14ac:dyDescent="0.3">
      <c r="A436" t="s">
        <v>869</v>
      </c>
      <c r="B436" t="s">
        <v>870</v>
      </c>
      <c r="C436" t="s">
        <v>6</v>
      </c>
      <c r="D436" t="s">
        <v>7</v>
      </c>
    </row>
    <row r="437" spans="1:4" x14ac:dyDescent="0.3">
      <c r="A437" t="s">
        <v>871</v>
      </c>
      <c r="B437" t="s">
        <v>872</v>
      </c>
      <c r="C437" t="s">
        <v>17</v>
      </c>
      <c r="D437" t="s">
        <v>7</v>
      </c>
    </row>
    <row r="438" spans="1:4" x14ac:dyDescent="0.3">
      <c r="A438" t="s">
        <v>873</v>
      </c>
      <c r="B438" t="s">
        <v>874</v>
      </c>
      <c r="C438" t="s">
        <v>10</v>
      </c>
      <c r="D438" t="s">
        <v>11</v>
      </c>
    </row>
    <row r="439" spans="1:4" x14ac:dyDescent="0.3">
      <c r="A439" t="s">
        <v>875</v>
      </c>
      <c r="B439" t="s">
        <v>876</v>
      </c>
      <c r="C439" t="s">
        <v>10</v>
      </c>
      <c r="D439" t="s">
        <v>28</v>
      </c>
    </row>
    <row r="440" spans="1:4" x14ac:dyDescent="0.3">
      <c r="A440" t="s">
        <v>877</v>
      </c>
      <c r="B440" t="s">
        <v>878</v>
      </c>
      <c r="C440" t="s">
        <v>6</v>
      </c>
      <c r="D440" t="s">
        <v>7</v>
      </c>
    </row>
    <row r="441" spans="1:4" x14ac:dyDescent="0.3">
      <c r="A441" t="s">
        <v>879</v>
      </c>
      <c r="B441" t="s">
        <v>880</v>
      </c>
      <c r="C441" t="s">
        <v>14</v>
      </c>
      <c r="D441" t="s">
        <v>28</v>
      </c>
    </row>
    <row r="442" spans="1:4" x14ac:dyDescent="0.3">
      <c r="A442" t="s">
        <v>881</v>
      </c>
      <c r="B442" t="s">
        <v>882</v>
      </c>
      <c r="C442" t="s">
        <v>31</v>
      </c>
      <c r="D442" t="s">
        <v>7</v>
      </c>
    </row>
    <row r="443" spans="1:4" x14ac:dyDescent="0.3">
      <c r="A443" t="s">
        <v>883</v>
      </c>
      <c r="B443" t="s">
        <v>884</v>
      </c>
      <c r="C443" t="s">
        <v>6</v>
      </c>
      <c r="D443" t="s">
        <v>28</v>
      </c>
    </row>
    <row r="444" spans="1:4" x14ac:dyDescent="0.3">
      <c r="A444" t="s">
        <v>885</v>
      </c>
      <c r="B444" t="s">
        <v>886</v>
      </c>
      <c r="C444" t="s">
        <v>17</v>
      </c>
      <c r="D444" t="s">
        <v>7</v>
      </c>
    </row>
    <row r="445" spans="1:4" x14ac:dyDescent="0.3">
      <c r="A445" t="s">
        <v>887</v>
      </c>
      <c r="B445" t="s">
        <v>888</v>
      </c>
      <c r="C445" t="s">
        <v>14</v>
      </c>
      <c r="D445" t="s">
        <v>7</v>
      </c>
    </row>
    <row r="446" spans="1:4" x14ac:dyDescent="0.3">
      <c r="A446" t="s">
        <v>889</v>
      </c>
      <c r="B446" t="s">
        <v>890</v>
      </c>
      <c r="C446" t="s">
        <v>6</v>
      </c>
      <c r="D446" t="s">
        <v>7</v>
      </c>
    </row>
    <row r="447" spans="1:4" x14ac:dyDescent="0.3">
      <c r="A447" t="s">
        <v>891</v>
      </c>
      <c r="B447" t="s">
        <v>892</v>
      </c>
      <c r="C447" t="s">
        <v>6</v>
      </c>
      <c r="D447" t="s">
        <v>11</v>
      </c>
    </row>
    <row r="448" spans="1:4" x14ac:dyDescent="0.3">
      <c r="A448" t="s">
        <v>893</v>
      </c>
      <c r="B448" t="s">
        <v>894</v>
      </c>
      <c r="C448" t="s">
        <v>31</v>
      </c>
      <c r="D448" t="s">
        <v>28</v>
      </c>
    </row>
    <row r="449" spans="1:4" x14ac:dyDescent="0.3">
      <c r="A449" t="s">
        <v>895</v>
      </c>
      <c r="B449" t="s">
        <v>896</v>
      </c>
      <c r="C449" t="s">
        <v>17</v>
      </c>
      <c r="D449" t="s">
        <v>28</v>
      </c>
    </row>
    <row r="450" spans="1:4" x14ac:dyDescent="0.3">
      <c r="A450" t="s">
        <v>897</v>
      </c>
      <c r="B450" t="s">
        <v>898</v>
      </c>
      <c r="C450" t="s">
        <v>6</v>
      </c>
      <c r="D450" t="s">
        <v>11</v>
      </c>
    </row>
    <row r="451" spans="1:4" x14ac:dyDescent="0.3">
      <c r="A451" t="s">
        <v>899</v>
      </c>
      <c r="B451" t="s">
        <v>900</v>
      </c>
      <c r="C451" t="s">
        <v>17</v>
      </c>
      <c r="D451" t="s">
        <v>11</v>
      </c>
    </row>
    <row r="452" spans="1:4" x14ac:dyDescent="0.3">
      <c r="A452" t="s">
        <v>464</v>
      </c>
      <c r="B452" t="s">
        <v>901</v>
      </c>
      <c r="C452" t="s">
        <v>6</v>
      </c>
      <c r="D452" t="s">
        <v>7</v>
      </c>
    </row>
    <row r="453" spans="1:4" x14ac:dyDescent="0.3">
      <c r="A453" t="s">
        <v>902</v>
      </c>
      <c r="B453" t="s">
        <v>903</v>
      </c>
      <c r="C453" t="s">
        <v>31</v>
      </c>
      <c r="D453" t="s">
        <v>28</v>
      </c>
    </row>
    <row r="454" spans="1:4" x14ac:dyDescent="0.3">
      <c r="A454" t="s">
        <v>904</v>
      </c>
      <c r="B454" t="s">
        <v>905</v>
      </c>
      <c r="C454" t="s">
        <v>31</v>
      </c>
      <c r="D454" t="s">
        <v>11</v>
      </c>
    </row>
    <row r="455" spans="1:4" x14ac:dyDescent="0.3">
      <c r="A455" t="s">
        <v>906</v>
      </c>
      <c r="B455" t="s">
        <v>907</v>
      </c>
      <c r="C455" t="s">
        <v>6</v>
      </c>
      <c r="D455" t="s">
        <v>7</v>
      </c>
    </row>
    <row r="456" spans="1:4" x14ac:dyDescent="0.3">
      <c r="A456" t="s">
        <v>908</v>
      </c>
      <c r="B456" t="s">
        <v>909</v>
      </c>
      <c r="C456" t="s">
        <v>10</v>
      </c>
      <c r="D456" t="s">
        <v>11</v>
      </c>
    </row>
    <row r="457" spans="1:4" x14ac:dyDescent="0.3">
      <c r="A457" t="s">
        <v>54</v>
      </c>
      <c r="B457" t="s">
        <v>910</v>
      </c>
      <c r="C457" t="s">
        <v>17</v>
      </c>
      <c r="D457" t="s">
        <v>11</v>
      </c>
    </row>
    <row r="458" spans="1:4" x14ac:dyDescent="0.3">
      <c r="A458" t="s">
        <v>911</v>
      </c>
      <c r="B458" t="s">
        <v>912</v>
      </c>
      <c r="C458" t="s">
        <v>14</v>
      </c>
      <c r="D458" t="s">
        <v>28</v>
      </c>
    </row>
    <row r="459" spans="1:4" x14ac:dyDescent="0.3">
      <c r="A459" t="s">
        <v>913</v>
      </c>
      <c r="B459" t="s">
        <v>914</v>
      </c>
      <c r="C459" t="s">
        <v>14</v>
      </c>
      <c r="D459" t="s">
        <v>28</v>
      </c>
    </row>
    <row r="460" spans="1:4" x14ac:dyDescent="0.3">
      <c r="A460" t="s">
        <v>915</v>
      </c>
      <c r="B460" t="s">
        <v>916</v>
      </c>
      <c r="C460" t="s">
        <v>6</v>
      </c>
      <c r="D460" t="s">
        <v>28</v>
      </c>
    </row>
    <row r="461" spans="1:4" x14ac:dyDescent="0.3">
      <c r="A461" t="s">
        <v>917</v>
      </c>
      <c r="B461" t="s">
        <v>918</v>
      </c>
      <c r="C461" t="s">
        <v>14</v>
      </c>
      <c r="D461" t="s">
        <v>7</v>
      </c>
    </row>
    <row r="462" spans="1:4" x14ac:dyDescent="0.3">
      <c r="A462" t="s">
        <v>919</v>
      </c>
      <c r="B462" t="s">
        <v>920</v>
      </c>
      <c r="C462" t="s">
        <v>10</v>
      </c>
      <c r="D462" t="s">
        <v>11</v>
      </c>
    </row>
    <row r="463" spans="1:4" x14ac:dyDescent="0.3">
      <c r="A463" t="s">
        <v>921</v>
      </c>
      <c r="B463" t="s">
        <v>922</v>
      </c>
      <c r="C463" t="s">
        <v>10</v>
      </c>
      <c r="D463" t="s">
        <v>28</v>
      </c>
    </row>
    <row r="464" spans="1:4" x14ac:dyDescent="0.3">
      <c r="A464" t="s">
        <v>923</v>
      </c>
      <c r="B464" t="s">
        <v>924</v>
      </c>
      <c r="C464" t="s">
        <v>31</v>
      </c>
      <c r="D464" t="s">
        <v>11</v>
      </c>
    </row>
    <row r="465" spans="1:4" x14ac:dyDescent="0.3">
      <c r="A465" t="s">
        <v>925</v>
      </c>
      <c r="B465" t="s">
        <v>926</v>
      </c>
      <c r="C465" t="s">
        <v>14</v>
      </c>
      <c r="D465" t="s">
        <v>7</v>
      </c>
    </row>
    <row r="466" spans="1:4" x14ac:dyDescent="0.3">
      <c r="A466" t="s">
        <v>927</v>
      </c>
      <c r="B466" t="s">
        <v>928</v>
      </c>
      <c r="C466" t="s">
        <v>31</v>
      </c>
      <c r="D466" t="s">
        <v>28</v>
      </c>
    </row>
    <row r="467" spans="1:4" x14ac:dyDescent="0.3">
      <c r="A467" t="s">
        <v>622</v>
      </c>
      <c r="B467" t="s">
        <v>929</v>
      </c>
      <c r="C467" t="s">
        <v>10</v>
      </c>
      <c r="D467" t="s">
        <v>7</v>
      </c>
    </row>
    <row r="468" spans="1:4" x14ac:dyDescent="0.3">
      <c r="A468" t="s">
        <v>930</v>
      </c>
      <c r="B468" t="s">
        <v>931</v>
      </c>
      <c r="C468" t="s">
        <v>17</v>
      </c>
      <c r="D468" t="s">
        <v>28</v>
      </c>
    </row>
    <row r="469" spans="1:4" x14ac:dyDescent="0.3">
      <c r="A469" t="s">
        <v>932</v>
      </c>
      <c r="B469" t="s">
        <v>933</v>
      </c>
      <c r="C469" t="s">
        <v>31</v>
      </c>
      <c r="D469" t="s">
        <v>28</v>
      </c>
    </row>
    <row r="470" spans="1:4" x14ac:dyDescent="0.3">
      <c r="A470" t="s">
        <v>934</v>
      </c>
      <c r="B470" t="s">
        <v>935</v>
      </c>
      <c r="C470" t="s">
        <v>17</v>
      </c>
      <c r="D470" t="s">
        <v>11</v>
      </c>
    </row>
    <row r="471" spans="1:4" x14ac:dyDescent="0.3">
      <c r="A471" t="s">
        <v>936</v>
      </c>
      <c r="B471" t="s">
        <v>937</v>
      </c>
      <c r="C471" t="s">
        <v>10</v>
      </c>
      <c r="D471" t="s">
        <v>7</v>
      </c>
    </row>
    <row r="472" spans="1:4" x14ac:dyDescent="0.3">
      <c r="A472" t="s">
        <v>938</v>
      </c>
      <c r="B472" t="s">
        <v>939</v>
      </c>
      <c r="C472" t="s">
        <v>6</v>
      </c>
      <c r="D472" t="s">
        <v>11</v>
      </c>
    </row>
    <row r="473" spans="1:4" x14ac:dyDescent="0.3">
      <c r="A473" t="s">
        <v>940</v>
      </c>
      <c r="B473" t="s">
        <v>941</v>
      </c>
      <c r="C473" t="s">
        <v>31</v>
      </c>
      <c r="D473" t="s">
        <v>7</v>
      </c>
    </row>
    <row r="474" spans="1:4" x14ac:dyDescent="0.3">
      <c r="A474" t="s">
        <v>942</v>
      </c>
      <c r="B474" t="s">
        <v>943</v>
      </c>
      <c r="C474" t="s">
        <v>17</v>
      </c>
      <c r="D474" t="s">
        <v>7</v>
      </c>
    </row>
    <row r="475" spans="1:4" x14ac:dyDescent="0.3">
      <c r="A475" t="s">
        <v>944</v>
      </c>
      <c r="B475" t="s">
        <v>945</v>
      </c>
      <c r="C475" t="s">
        <v>31</v>
      </c>
      <c r="D475" t="s">
        <v>7</v>
      </c>
    </row>
    <row r="476" spans="1:4" x14ac:dyDescent="0.3">
      <c r="A476" t="s">
        <v>946</v>
      </c>
      <c r="B476" t="s">
        <v>947</v>
      </c>
      <c r="C476" t="s">
        <v>31</v>
      </c>
      <c r="D476" t="s">
        <v>28</v>
      </c>
    </row>
    <row r="477" spans="1:4" x14ac:dyDescent="0.3">
      <c r="A477" t="s">
        <v>948</v>
      </c>
      <c r="B477" t="s">
        <v>949</v>
      </c>
      <c r="C477" t="s">
        <v>10</v>
      </c>
      <c r="D477" t="s">
        <v>11</v>
      </c>
    </row>
    <row r="478" spans="1:4" x14ac:dyDescent="0.3">
      <c r="A478" t="s">
        <v>950</v>
      </c>
      <c r="B478" t="s">
        <v>951</v>
      </c>
      <c r="C478" t="s">
        <v>6</v>
      </c>
      <c r="D478" t="s">
        <v>28</v>
      </c>
    </row>
    <row r="479" spans="1:4" x14ac:dyDescent="0.3">
      <c r="A479" t="s">
        <v>952</v>
      </c>
      <c r="B479" t="s">
        <v>953</v>
      </c>
      <c r="C479" t="s">
        <v>17</v>
      </c>
      <c r="D479" t="s">
        <v>28</v>
      </c>
    </row>
    <row r="480" spans="1:4" x14ac:dyDescent="0.3">
      <c r="A480" t="s">
        <v>314</v>
      </c>
      <c r="B480" t="s">
        <v>954</v>
      </c>
      <c r="C480" t="s">
        <v>17</v>
      </c>
      <c r="D480" t="s">
        <v>28</v>
      </c>
    </row>
    <row r="481" spans="1:4" x14ac:dyDescent="0.3">
      <c r="A481" t="s">
        <v>955</v>
      </c>
      <c r="B481" t="s">
        <v>956</v>
      </c>
      <c r="C481" t="s">
        <v>6</v>
      </c>
      <c r="D481" t="s">
        <v>28</v>
      </c>
    </row>
    <row r="482" spans="1:4" x14ac:dyDescent="0.3">
      <c r="A482" t="s">
        <v>957</v>
      </c>
      <c r="B482" t="s">
        <v>958</v>
      </c>
      <c r="C482" t="s">
        <v>14</v>
      </c>
      <c r="D482" t="s">
        <v>28</v>
      </c>
    </row>
    <row r="483" spans="1:4" x14ac:dyDescent="0.3">
      <c r="A483" t="s">
        <v>959</v>
      </c>
      <c r="B483" t="s">
        <v>960</v>
      </c>
      <c r="C483" t="s">
        <v>14</v>
      </c>
      <c r="D483" t="s">
        <v>7</v>
      </c>
    </row>
    <row r="484" spans="1:4" x14ac:dyDescent="0.3">
      <c r="A484" t="s">
        <v>961</v>
      </c>
      <c r="B484" t="s">
        <v>962</v>
      </c>
      <c r="C484" t="s">
        <v>31</v>
      </c>
      <c r="D484" t="s">
        <v>7</v>
      </c>
    </row>
    <row r="485" spans="1:4" x14ac:dyDescent="0.3">
      <c r="A485" t="s">
        <v>963</v>
      </c>
      <c r="B485" t="s">
        <v>964</v>
      </c>
      <c r="C485" t="s">
        <v>31</v>
      </c>
      <c r="D485" t="s">
        <v>28</v>
      </c>
    </row>
    <row r="486" spans="1:4" x14ac:dyDescent="0.3">
      <c r="A486" t="s">
        <v>965</v>
      </c>
      <c r="B486" t="s">
        <v>966</v>
      </c>
      <c r="C486" t="s">
        <v>14</v>
      </c>
      <c r="D486" t="s">
        <v>28</v>
      </c>
    </row>
    <row r="487" spans="1:4" x14ac:dyDescent="0.3">
      <c r="A487" t="s">
        <v>967</v>
      </c>
      <c r="B487" t="s">
        <v>968</v>
      </c>
      <c r="C487" t="s">
        <v>6</v>
      </c>
      <c r="D487" t="s">
        <v>7</v>
      </c>
    </row>
    <row r="488" spans="1:4" x14ac:dyDescent="0.3">
      <c r="A488" t="s">
        <v>969</v>
      </c>
      <c r="B488" t="s">
        <v>970</v>
      </c>
      <c r="C488" t="s">
        <v>31</v>
      </c>
      <c r="D488" t="s">
        <v>7</v>
      </c>
    </row>
    <row r="489" spans="1:4" x14ac:dyDescent="0.3">
      <c r="A489" t="s">
        <v>971</v>
      </c>
      <c r="B489" t="s">
        <v>972</v>
      </c>
      <c r="C489" t="s">
        <v>31</v>
      </c>
      <c r="D489" t="s">
        <v>7</v>
      </c>
    </row>
    <row r="490" spans="1:4" x14ac:dyDescent="0.3">
      <c r="A490" t="s">
        <v>973</v>
      </c>
      <c r="B490" t="s">
        <v>974</v>
      </c>
      <c r="C490" t="s">
        <v>6</v>
      </c>
      <c r="D490" t="s">
        <v>7</v>
      </c>
    </row>
    <row r="491" spans="1:4" x14ac:dyDescent="0.3">
      <c r="A491" t="s">
        <v>975</v>
      </c>
      <c r="B491" t="s">
        <v>976</v>
      </c>
      <c r="C491" t="s">
        <v>6</v>
      </c>
      <c r="D491" t="s">
        <v>7</v>
      </c>
    </row>
    <row r="492" spans="1:4" x14ac:dyDescent="0.3">
      <c r="A492" t="s">
        <v>977</v>
      </c>
      <c r="B492" t="s">
        <v>978</v>
      </c>
      <c r="C492" t="s">
        <v>31</v>
      </c>
      <c r="D492" t="s">
        <v>7</v>
      </c>
    </row>
    <row r="493" spans="1:4" x14ac:dyDescent="0.3">
      <c r="A493" t="s">
        <v>979</v>
      </c>
      <c r="B493" t="s">
        <v>980</v>
      </c>
      <c r="C493" t="s">
        <v>6</v>
      </c>
      <c r="D493" t="s">
        <v>7</v>
      </c>
    </row>
    <row r="494" spans="1:4" x14ac:dyDescent="0.3">
      <c r="A494" t="s">
        <v>917</v>
      </c>
      <c r="B494" t="s">
        <v>981</v>
      </c>
      <c r="C494" t="s">
        <v>17</v>
      </c>
      <c r="D494" t="s">
        <v>28</v>
      </c>
    </row>
    <row r="495" spans="1:4" x14ac:dyDescent="0.3">
      <c r="A495" t="s">
        <v>982</v>
      </c>
      <c r="B495" t="s">
        <v>983</v>
      </c>
      <c r="C495" t="s">
        <v>31</v>
      </c>
      <c r="D495" t="s">
        <v>11</v>
      </c>
    </row>
    <row r="496" spans="1:4" x14ac:dyDescent="0.3">
      <c r="A496" t="s">
        <v>984</v>
      </c>
      <c r="B496" t="s">
        <v>985</v>
      </c>
      <c r="C496" t="s">
        <v>6</v>
      </c>
      <c r="D496" t="s">
        <v>28</v>
      </c>
    </row>
    <row r="497" spans="1:4" x14ac:dyDescent="0.3">
      <c r="A497" t="s">
        <v>986</v>
      </c>
      <c r="B497" t="s">
        <v>987</v>
      </c>
      <c r="C497" t="s">
        <v>17</v>
      </c>
      <c r="D497" t="s">
        <v>11</v>
      </c>
    </row>
    <row r="498" spans="1:4" x14ac:dyDescent="0.3">
      <c r="A498" t="s">
        <v>988</v>
      </c>
      <c r="B498" t="s">
        <v>989</v>
      </c>
      <c r="C498" t="s">
        <v>6</v>
      </c>
      <c r="D498" t="s">
        <v>7</v>
      </c>
    </row>
    <row r="499" spans="1:4" x14ac:dyDescent="0.3">
      <c r="A499" t="s">
        <v>990</v>
      </c>
      <c r="B499" t="s">
        <v>991</v>
      </c>
      <c r="C499" t="s">
        <v>10</v>
      </c>
      <c r="D499" t="s">
        <v>7</v>
      </c>
    </row>
    <row r="500" spans="1:4" x14ac:dyDescent="0.3">
      <c r="A500" t="s">
        <v>992</v>
      </c>
      <c r="B500" t="s">
        <v>993</v>
      </c>
      <c r="C500" t="s">
        <v>17</v>
      </c>
      <c r="D500" t="s">
        <v>11</v>
      </c>
    </row>
    <row r="501" spans="1:4" x14ac:dyDescent="0.3">
      <c r="A501" t="s">
        <v>460</v>
      </c>
      <c r="B501" t="s">
        <v>994</v>
      </c>
      <c r="C501" t="s">
        <v>17</v>
      </c>
      <c r="D50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0A60-FA44-4997-9671-FFCBF0989287}">
  <dimension ref="A1:K501"/>
  <sheetViews>
    <sheetView tabSelected="1" topLeftCell="A474" workbookViewId="0">
      <selection activeCell="G498" sqref="G498"/>
    </sheetView>
  </sheetViews>
  <sheetFormatPr defaultRowHeight="14.4" x14ac:dyDescent="0.3"/>
  <cols>
    <col min="1" max="1" width="12.88671875" bestFit="1" customWidth="1"/>
    <col min="2" max="2" width="16.44140625" style="1" bestFit="1" customWidth="1"/>
    <col min="3" max="3" width="20" bestFit="1" customWidth="1"/>
    <col min="4" max="4" width="21.77734375" bestFit="1" customWidth="1"/>
    <col min="5" max="5" width="10.109375" bestFit="1" customWidth="1"/>
    <col min="6" max="6" width="13.6640625" bestFit="1" customWidth="1"/>
    <col min="7" max="7" width="10.6640625" bestFit="1" customWidth="1"/>
    <col min="8" max="8" width="13.6640625" bestFit="1" customWidth="1"/>
    <col min="9" max="9" width="12.88671875" bestFit="1" customWidth="1"/>
    <col min="10" max="10" width="13.44140625" bestFit="1" customWidth="1"/>
    <col min="11" max="11" width="11.77734375" bestFit="1" customWidth="1"/>
  </cols>
  <sheetData>
    <row r="1" spans="1:11" s="2" customFormat="1" ht="15.6" x14ac:dyDescent="0.3">
      <c r="A1" s="3" t="s">
        <v>1504</v>
      </c>
      <c r="B1" s="4" t="s">
        <v>1503</v>
      </c>
      <c r="C1" s="3" t="s">
        <v>0</v>
      </c>
      <c r="D1" s="2" t="s">
        <v>1502</v>
      </c>
      <c r="E1" s="3" t="s">
        <v>1501</v>
      </c>
      <c r="F1" s="3" t="s">
        <v>1500</v>
      </c>
      <c r="G1" s="2" t="s">
        <v>1499</v>
      </c>
      <c r="H1" s="3" t="s">
        <v>1498</v>
      </c>
      <c r="I1" s="5" t="s">
        <v>2</v>
      </c>
      <c r="J1" s="5" t="s">
        <v>3</v>
      </c>
      <c r="K1" s="5" t="s">
        <v>1505</v>
      </c>
    </row>
    <row r="2" spans="1:11" x14ac:dyDescent="0.3">
      <c r="A2" t="s">
        <v>1497</v>
      </c>
      <c r="B2" s="1">
        <v>44980</v>
      </c>
      <c r="C2" t="s">
        <v>4</v>
      </c>
      <c r="D2" t="s">
        <v>997</v>
      </c>
      <c r="E2">
        <v>2290.4</v>
      </c>
      <c r="F2">
        <v>14</v>
      </c>
      <c r="G2">
        <v>658</v>
      </c>
      <c r="H2">
        <v>0</v>
      </c>
      <c r="I2" t="str">
        <f>VLOOKUP(C2,Table1[#All],3,FALSE)</f>
        <v>Asia</v>
      </c>
      <c r="J2" t="str">
        <f>VLOOKUP(C2,Table1[#All],4,FALSE)</f>
        <v>Home Office</v>
      </c>
      <c r="K2" t="str">
        <f>TEXT(Table13[[#This Row],[Order_Date]],"mmm-yyyy")</f>
        <v>Feb-2023</v>
      </c>
    </row>
    <row r="3" spans="1:11" x14ac:dyDescent="0.3">
      <c r="A3" t="s">
        <v>1496</v>
      </c>
      <c r="B3" s="1">
        <v>45645</v>
      </c>
      <c r="C3" t="s">
        <v>8</v>
      </c>
      <c r="D3" t="s">
        <v>1000</v>
      </c>
      <c r="E3">
        <v>544.01</v>
      </c>
      <c r="F3">
        <v>1</v>
      </c>
      <c r="G3">
        <v>64</v>
      </c>
      <c r="H3">
        <v>0</v>
      </c>
      <c r="I3" t="str">
        <f>VLOOKUP(C3,Table1[#All],3,FALSE)</f>
        <v>South America</v>
      </c>
      <c r="J3" t="str">
        <f>VLOOKUP(C3,Table1[#All],4,FALSE)</f>
        <v>Consumer</v>
      </c>
      <c r="K3" t="str">
        <f>TEXT(Table13[[#This Row],[Order_Date]],"mmm-yyyy")</f>
        <v>Dec-2024</v>
      </c>
    </row>
    <row r="4" spans="1:11" x14ac:dyDescent="0.3">
      <c r="A4" t="s">
        <v>1495</v>
      </c>
      <c r="B4" s="1">
        <v>45204</v>
      </c>
      <c r="C4" t="s">
        <v>12</v>
      </c>
      <c r="D4" t="s">
        <v>1000</v>
      </c>
      <c r="E4">
        <v>4361.8680000000004</v>
      </c>
      <c r="F4">
        <v>14</v>
      </c>
      <c r="G4">
        <v>146</v>
      </c>
      <c r="H4">
        <v>0.1</v>
      </c>
      <c r="I4" t="str">
        <f>VLOOKUP(C4,Table1[#All],3,FALSE)</f>
        <v>North America</v>
      </c>
      <c r="J4" t="str">
        <f>VLOOKUP(C4,Table1[#All],4,FALSE)</f>
        <v>Consumer</v>
      </c>
      <c r="K4" t="str">
        <f>TEXT(Table13[[#This Row],[Order_Date]],"mmm-yyyy")</f>
        <v>Oct-2023</v>
      </c>
    </row>
    <row r="5" spans="1:11" x14ac:dyDescent="0.3">
      <c r="A5" t="s">
        <v>1494</v>
      </c>
      <c r="B5" s="1">
        <v>45714</v>
      </c>
      <c r="C5" t="s">
        <v>15</v>
      </c>
      <c r="D5" t="s">
        <v>997</v>
      </c>
      <c r="E5">
        <v>5887.7460000000001</v>
      </c>
      <c r="F5">
        <v>18</v>
      </c>
      <c r="G5">
        <v>712</v>
      </c>
      <c r="H5">
        <v>0.15</v>
      </c>
      <c r="I5" t="str">
        <f>VLOOKUP(C5,Table1[#All],3,FALSE)</f>
        <v>Africa</v>
      </c>
      <c r="J5" t="str">
        <f>VLOOKUP(C5,Table1[#All],4,FALSE)</f>
        <v>Consumer</v>
      </c>
      <c r="K5" t="str">
        <f>TEXT(Table13[[#This Row],[Order_Date]],"mmm-yyyy")</f>
        <v>Feb-2025</v>
      </c>
    </row>
    <row r="6" spans="1:11" x14ac:dyDescent="0.3">
      <c r="A6" t="s">
        <v>1493</v>
      </c>
      <c r="B6" s="1">
        <v>45101</v>
      </c>
      <c r="C6" t="s">
        <v>18</v>
      </c>
      <c r="D6" t="s">
        <v>997</v>
      </c>
      <c r="E6">
        <v>4279.68</v>
      </c>
      <c r="F6">
        <v>18</v>
      </c>
      <c r="G6">
        <v>1151</v>
      </c>
      <c r="H6">
        <v>0</v>
      </c>
      <c r="I6" t="str">
        <f>VLOOKUP(C6,Table1[#All],3,FALSE)</f>
        <v>Asia</v>
      </c>
      <c r="J6" t="str">
        <f>VLOOKUP(C6,Table1[#All],4,FALSE)</f>
        <v>Home Office</v>
      </c>
      <c r="K6" t="str">
        <f>TEXT(Table13[[#This Row],[Order_Date]],"mmm-yyyy")</f>
        <v>Jun-2023</v>
      </c>
    </row>
    <row r="7" spans="1:11" x14ac:dyDescent="0.3">
      <c r="A7" t="s">
        <v>1492</v>
      </c>
      <c r="B7" s="1">
        <v>45342</v>
      </c>
      <c r="C7" t="s">
        <v>20</v>
      </c>
      <c r="D7" t="s">
        <v>995</v>
      </c>
      <c r="E7">
        <v>654.65300000000002</v>
      </c>
      <c r="F7">
        <v>2</v>
      </c>
      <c r="G7">
        <v>247</v>
      </c>
      <c r="H7">
        <v>0.15</v>
      </c>
      <c r="I7" t="str">
        <f>VLOOKUP(C7,Table1[#All],3,FALSE)</f>
        <v>Africa</v>
      </c>
      <c r="J7" t="str">
        <f>VLOOKUP(C7,Table1[#All],4,FALSE)</f>
        <v>Consumer</v>
      </c>
      <c r="K7" t="str">
        <f>TEXT(Table13[[#This Row],[Order_Date]],"mmm-yyyy")</f>
        <v>Feb-2024</v>
      </c>
    </row>
    <row r="8" spans="1:11" x14ac:dyDescent="0.3">
      <c r="A8" t="s">
        <v>1491</v>
      </c>
      <c r="B8" s="1">
        <v>45231</v>
      </c>
      <c r="C8" t="s">
        <v>22</v>
      </c>
      <c r="D8" t="s">
        <v>995</v>
      </c>
      <c r="E8">
        <v>110.25</v>
      </c>
      <c r="F8">
        <v>7</v>
      </c>
      <c r="G8">
        <v>-275</v>
      </c>
      <c r="H8">
        <v>0.1</v>
      </c>
      <c r="I8" t="str">
        <f>VLOOKUP(C8,Table1[#All],3,FALSE)</f>
        <v>South America</v>
      </c>
      <c r="J8" t="str">
        <f>VLOOKUP(C8,Table1[#All],4,FALSE)</f>
        <v>Consumer</v>
      </c>
      <c r="K8" t="str">
        <f>TEXT(Table13[[#This Row],[Order_Date]],"mmm-yyyy")</f>
        <v>Nov-2023</v>
      </c>
    </row>
    <row r="9" spans="1:11" x14ac:dyDescent="0.3">
      <c r="A9" t="s">
        <v>1490</v>
      </c>
      <c r="B9" s="1">
        <v>45170</v>
      </c>
      <c r="C9" t="s">
        <v>24</v>
      </c>
      <c r="D9" t="s">
        <v>995</v>
      </c>
      <c r="E9">
        <v>842.06100000000004</v>
      </c>
      <c r="F9">
        <v>3</v>
      </c>
      <c r="G9">
        <v>-213</v>
      </c>
      <c r="H9">
        <v>0.15</v>
      </c>
      <c r="I9" t="str">
        <f>VLOOKUP(C9,Table1[#All],3,FALSE)</f>
        <v>Africa</v>
      </c>
      <c r="J9" t="str">
        <f>VLOOKUP(C9,Table1[#All],4,FALSE)</f>
        <v>Consumer</v>
      </c>
      <c r="K9" t="str">
        <f>TEXT(Table13[[#This Row],[Order_Date]],"mmm-yyyy")</f>
        <v>Sep-2023</v>
      </c>
    </row>
    <row r="10" spans="1:11" x14ac:dyDescent="0.3">
      <c r="A10" t="s">
        <v>1489</v>
      </c>
      <c r="B10" s="1">
        <v>45581</v>
      </c>
      <c r="C10" t="s">
        <v>26</v>
      </c>
      <c r="D10" t="s">
        <v>995</v>
      </c>
      <c r="E10">
        <v>1231.3140000000001</v>
      </c>
      <c r="F10">
        <v>3</v>
      </c>
      <c r="G10">
        <v>-44</v>
      </c>
      <c r="H10">
        <v>0.05</v>
      </c>
      <c r="I10" t="str">
        <f>VLOOKUP(C10,Table1[#All],3,FALSE)</f>
        <v>South America</v>
      </c>
      <c r="J10" t="str">
        <f>VLOOKUP(C10,Table1[#All],4,FALSE)</f>
        <v>Corporate</v>
      </c>
      <c r="K10" t="str">
        <f>TEXT(Table13[[#This Row],[Order_Date]],"mmm-yyyy")</f>
        <v>Oct-2024</v>
      </c>
    </row>
    <row r="11" spans="1:11" x14ac:dyDescent="0.3">
      <c r="A11" t="s">
        <v>1488</v>
      </c>
      <c r="B11" s="1">
        <v>45780</v>
      </c>
      <c r="C11" t="s">
        <v>29</v>
      </c>
      <c r="D11" t="s">
        <v>995</v>
      </c>
      <c r="E11">
        <v>1454.76</v>
      </c>
      <c r="F11">
        <v>5</v>
      </c>
      <c r="G11">
        <v>-54</v>
      </c>
      <c r="H11">
        <v>0.1</v>
      </c>
      <c r="I11" t="str">
        <f>VLOOKUP(C11,Table1[#All],3,FALSE)</f>
        <v>Europe</v>
      </c>
      <c r="J11" t="str">
        <f>VLOOKUP(C11,Table1[#All],4,FALSE)</f>
        <v>Corporate</v>
      </c>
      <c r="K11" t="str">
        <f>TEXT(Table13[[#This Row],[Order_Date]],"mmm-yyyy")</f>
        <v>May-2025</v>
      </c>
    </row>
    <row r="12" spans="1:11" x14ac:dyDescent="0.3">
      <c r="A12" t="s">
        <v>1487</v>
      </c>
      <c r="B12" s="1">
        <v>45569</v>
      </c>
      <c r="C12" t="s">
        <v>32</v>
      </c>
      <c r="D12" t="s">
        <v>995</v>
      </c>
      <c r="E12">
        <v>6671.9475000000002</v>
      </c>
      <c r="F12">
        <v>15</v>
      </c>
      <c r="G12">
        <v>-190</v>
      </c>
      <c r="H12">
        <v>0.15</v>
      </c>
      <c r="I12" t="str">
        <f>VLOOKUP(C12,Table1[#All],3,FALSE)</f>
        <v>North America</v>
      </c>
      <c r="J12" t="str">
        <f>VLOOKUP(C12,Table1[#All],4,FALSE)</f>
        <v>Consumer</v>
      </c>
      <c r="K12" t="str">
        <f>TEXT(Table13[[#This Row],[Order_Date]],"mmm-yyyy")</f>
        <v>Oct-2024</v>
      </c>
    </row>
    <row r="13" spans="1:11" x14ac:dyDescent="0.3">
      <c r="A13" t="s">
        <v>1486</v>
      </c>
      <c r="B13" s="1">
        <v>45633</v>
      </c>
      <c r="C13" t="s">
        <v>34</v>
      </c>
      <c r="D13" t="s">
        <v>997</v>
      </c>
      <c r="E13">
        <v>3545.6849999999999</v>
      </c>
      <c r="F13">
        <v>19</v>
      </c>
      <c r="G13">
        <v>-234</v>
      </c>
      <c r="H13">
        <v>0.1</v>
      </c>
      <c r="I13" t="str">
        <f>VLOOKUP(C13,Table1[#All],3,FALSE)</f>
        <v>Asia</v>
      </c>
      <c r="J13" t="str">
        <f>VLOOKUP(C13,Table1[#All],4,FALSE)</f>
        <v>Corporate</v>
      </c>
      <c r="K13" t="str">
        <f>TEXT(Table13[[#This Row],[Order_Date]],"mmm-yyyy")</f>
        <v>Dec-2024</v>
      </c>
    </row>
    <row r="14" spans="1:11" x14ac:dyDescent="0.3">
      <c r="A14" t="s">
        <v>1485</v>
      </c>
      <c r="B14" s="1">
        <v>45128</v>
      </c>
      <c r="C14" t="s">
        <v>36</v>
      </c>
      <c r="D14" t="s">
        <v>997</v>
      </c>
      <c r="E14">
        <v>114.5035</v>
      </c>
      <c r="F14">
        <v>1</v>
      </c>
      <c r="G14">
        <v>-891</v>
      </c>
      <c r="H14">
        <v>0.05</v>
      </c>
      <c r="I14" t="str">
        <f>VLOOKUP(C14,Table1[#All],3,FALSE)</f>
        <v>Africa</v>
      </c>
      <c r="J14" t="str">
        <f>VLOOKUP(C14,Table1[#All],4,FALSE)</f>
        <v>Consumer</v>
      </c>
      <c r="K14" t="str">
        <f>TEXT(Table13[[#This Row],[Order_Date]],"mmm-yyyy")</f>
        <v>Jul-2023</v>
      </c>
    </row>
    <row r="15" spans="1:11" x14ac:dyDescent="0.3">
      <c r="A15" t="s">
        <v>1484</v>
      </c>
      <c r="B15" s="1">
        <v>45675</v>
      </c>
      <c r="C15" t="s">
        <v>38</v>
      </c>
      <c r="D15" t="s">
        <v>1000</v>
      </c>
      <c r="E15">
        <v>134.15549999999999</v>
      </c>
      <c r="F15">
        <v>1</v>
      </c>
      <c r="G15">
        <v>-492</v>
      </c>
      <c r="H15">
        <v>0.15</v>
      </c>
      <c r="I15" t="str">
        <f>VLOOKUP(C15,Table1[#All],3,FALSE)</f>
        <v>Europe</v>
      </c>
      <c r="J15" t="str">
        <f>VLOOKUP(C15,Table1[#All],4,FALSE)</f>
        <v>Corporate</v>
      </c>
      <c r="K15" t="str">
        <f>TEXT(Table13[[#This Row],[Order_Date]],"mmm-yyyy")</f>
        <v>Jan-2025</v>
      </c>
    </row>
    <row r="16" spans="1:11" x14ac:dyDescent="0.3">
      <c r="A16" t="s">
        <v>1483</v>
      </c>
      <c r="B16" s="1">
        <v>45516</v>
      </c>
      <c r="C16" t="s">
        <v>40</v>
      </c>
      <c r="D16" t="s">
        <v>1000</v>
      </c>
      <c r="E16">
        <v>2808.8249999999998</v>
      </c>
      <c r="F16">
        <v>15</v>
      </c>
      <c r="G16">
        <v>1050</v>
      </c>
      <c r="H16">
        <v>0.15</v>
      </c>
      <c r="I16" t="str">
        <f>VLOOKUP(C16,Table1[#All],3,FALSE)</f>
        <v>North America</v>
      </c>
      <c r="J16" t="str">
        <f>VLOOKUP(C16,Table1[#All],4,FALSE)</f>
        <v>Home Office</v>
      </c>
      <c r="K16" t="str">
        <f>TEXT(Table13[[#This Row],[Order_Date]],"mmm-yyyy")</f>
        <v>Aug-2024</v>
      </c>
    </row>
    <row r="17" spans="1:11" x14ac:dyDescent="0.3">
      <c r="A17" t="s">
        <v>1482</v>
      </c>
      <c r="B17" s="1">
        <v>45966</v>
      </c>
      <c r="C17" t="s">
        <v>42</v>
      </c>
      <c r="D17" t="s">
        <v>995</v>
      </c>
      <c r="E17">
        <v>2631.8040000000001</v>
      </c>
      <c r="F17">
        <v>17</v>
      </c>
      <c r="G17">
        <v>-3</v>
      </c>
      <c r="H17">
        <v>0.05</v>
      </c>
      <c r="I17" t="str">
        <f>VLOOKUP(C17,Table1[#All],3,FALSE)</f>
        <v>Europe</v>
      </c>
      <c r="J17" t="str">
        <f>VLOOKUP(C17,Table1[#All],4,FALSE)</f>
        <v>Home Office</v>
      </c>
      <c r="K17" t="str">
        <f>TEXT(Table13[[#This Row],[Order_Date]],"mmm-yyyy")</f>
        <v>Nov-2025</v>
      </c>
    </row>
    <row r="18" spans="1:11" x14ac:dyDescent="0.3">
      <c r="A18" t="s">
        <v>1481</v>
      </c>
      <c r="B18" s="1">
        <v>44983</v>
      </c>
      <c r="C18" t="s">
        <v>44</v>
      </c>
      <c r="D18" t="s">
        <v>1000</v>
      </c>
      <c r="E18">
        <v>4486.09</v>
      </c>
      <c r="F18">
        <v>19</v>
      </c>
      <c r="G18">
        <v>433</v>
      </c>
      <c r="H18">
        <v>0</v>
      </c>
      <c r="I18" t="str">
        <f>VLOOKUP(C18,Table1[#All],3,FALSE)</f>
        <v>Europe</v>
      </c>
      <c r="J18" t="str">
        <f>VLOOKUP(C18,Table1[#All],4,FALSE)</f>
        <v>Consumer</v>
      </c>
      <c r="K18" t="str">
        <f>TEXT(Table13[[#This Row],[Order_Date]],"mmm-yyyy")</f>
        <v>Feb-2023</v>
      </c>
    </row>
    <row r="19" spans="1:11" x14ac:dyDescent="0.3">
      <c r="A19" t="s">
        <v>1480</v>
      </c>
      <c r="B19" s="1">
        <v>45440</v>
      </c>
      <c r="C19" t="s">
        <v>46</v>
      </c>
      <c r="D19" t="s">
        <v>995</v>
      </c>
      <c r="E19">
        <v>10000</v>
      </c>
      <c r="F19">
        <v>11</v>
      </c>
      <c r="G19">
        <v>1</v>
      </c>
      <c r="H19">
        <v>0.05</v>
      </c>
      <c r="I19" t="str">
        <f>VLOOKUP(C19,Table1[#All],3,FALSE)</f>
        <v>Africa</v>
      </c>
      <c r="J19" t="str">
        <f>VLOOKUP(C19,Table1[#All],4,FALSE)</f>
        <v>Corporate</v>
      </c>
      <c r="K19" t="str">
        <f>TEXT(Table13[[#This Row],[Order_Date]],"mmm-yyyy")</f>
        <v>May-2024</v>
      </c>
    </row>
    <row r="20" spans="1:11" x14ac:dyDescent="0.3">
      <c r="A20" t="s">
        <v>1479</v>
      </c>
      <c r="B20" s="1">
        <v>45260</v>
      </c>
      <c r="C20" t="s">
        <v>48</v>
      </c>
      <c r="D20" t="s">
        <v>1000</v>
      </c>
      <c r="E20">
        <v>8823.68</v>
      </c>
      <c r="F20">
        <v>20</v>
      </c>
      <c r="G20">
        <v>721</v>
      </c>
      <c r="H20">
        <v>0.15</v>
      </c>
      <c r="I20" t="str">
        <f>VLOOKUP(C20,Table1[#All],3,FALSE)</f>
        <v>Asia</v>
      </c>
      <c r="J20" t="str">
        <f>VLOOKUP(C20,Table1[#All],4,FALSE)</f>
        <v>Corporate</v>
      </c>
      <c r="K20" t="str">
        <f>TEXT(Table13[[#This Row],[Order_Date]],"mmm-yyyy")</f>
        <v>Nov-2023</v>
      </c>
    </row>
    <row r="21" spans="1:11" x14ac:dyDescent="0.3">
      <c r="A21" t="s">
        <v>1478</v>
      </c>
      <c r="B21" s="1">
        <v>45099</v>
      </c>
      <c r="C21" t="s">
        <v>50</v>
      </c>
      <c r="D21" t="s">
        <v>995</v>
      </c>
      <c r="E21">
        <v>431.62</v>
      </c>
      <c r="F21">
        <v>14</v>
      </c>
      <c r="G21">
        <v>-1</v>
      </c>
      <c r="H21">
        <v>0</v>
      </c>
      <c r="I21" t="str">
        <f>VLOOKUP(C21,Table1[#All],3,FALSE)</f>
        <v>Europe</v>
      </c>
      <c r="J21" t="str">
        <f>VLOOKUP(C21,Table1[#All],4,FALSE)</f>
        <v>Home Office</v>
      </c>
      <c r="K21" t="str">
        <f>TEXT(Table13[[#This Row],[Order_Date]],"mmm-yyyy")</f>
        <v>Jun-2023</v>
      </c>
    </row>
    <row r="22" spans="1:11" x14ac:dyDescent="0.3">
      <c r="A22" t="s">
        <v>1477</v>
      </c>
      <c r="B22" s="1">
        <v>45783</v>
      </c>
      <c r="C22" t="s">
        <v>52</v>
      </c>
      <c r="D22" t="s">
        <v>1000</v>
      </c>
      <c r="E22">
        <v>3190.5</v>
      </c>
      <c r="F22">
        <v>10</v>
      </c>
      <c r="G22">
        <v>-624</v>
      </c>
      <c r="H22">
        <v>0</v>
      </c>
      <c r="I22" t="str">
        <f>VLOOKUP(C22,Table1[#All],3,FALSE)</f>
        <v>Europe</v>
      </c>
      <c r="J22" t="str">
        <f>VLOOKUP(C22,Table1[#All],4,FALSE)</f>
        <v>Home Office</v>
      </c>
      <c r="K22" t="str">
        <f>TEXT(Table13[[#This Row],[Order_Date]],"mmm-yyyy")</f>
        <v>May-2025</v>
      </c>
    </row>
    <row r="23" spans="1:11" x14ac:dyDescent="0.3">
      <c r="A23" t="s">
        <v>1476</v>
      </c>
      <c r="B23" s="1">
        <v>44988</v>
      </c>
      <c r="C23" t="s">
        <v>54</v>
      </c>
      <c r="D23" t="s">
        <v>997</v>
      </c>
      <c r="E23">
        <v>4160.107</v>
      </c>
      <c r="F23">
        <v>14</v>
      </c>
      <c r="G23">
        <v>95</v>
      </c>
      <c r="H23">
        <v>0.05</v>
      </c>
      <c r="I23" t="str">
        <f>VLOOKUP(C23,Table1[#All],3,FALSE)</f>
        <v>Africa</v>
      </c>
      <c r="J23" t="str">
        <f>VLOOKUP(C23,Table1[#All],4,FALSE)</f>
        <v>Consumer</v>
      </c>
      <c r="K23" t="str">
        <f>TEXT(Table13[[#This Row],[Order_Date]],"mmm-yyyy")</f>
        <v>Mar-2023</v>
      </c>
    </row>
    <row r="24" spans="1:11" x14ac:dyDescent="0.3">
      <c r="A24" t="s">
        <v>1475</v>
      </c>
      <c r="B24" s="1">
        <v>45340</v>
      </c>
      <c r="C24" t="s">
        <v>56</v>
      </c>
      <c r="D24" t="s">
        <v>997</v>
      </c>
      <c r="E24">
        <v>5536.3</v>
      </c>
      <c r="F24">
        <v>14</v>
      </c>
      <c r="G24">
        <v>254</v>
      </c>
      <c r="H24">
        <v>0</v>
      </c>
      <c r="I24" t="str">
        <f>VLOOKUP(C24,Table1[#All],3,FALSE)</f>
        <v>North America</v>
      </c>
      <c r="J24" t="str">
        <f>VLOOKUP(C24,Table1[#All],4,FALSE)</f>
        <v>Home Office</v>
      </c>
      <c r="K24" t="str">
        <f>TEXT(Table13[[#This Row],[Order_Date]],"mmm-yyyy")</f>
        <v>Feb-2024</v>
      </c>
    </row>
    <row r="25" spans="1:11" x14ac:dyDescent="0.3">
      <c r="A25" t="s">
        <v>1474</v>
      </c>
      <c r="B25" s="1">
        <v>45085</v>
      </c>
      <c r="C25" t="s">
        <v>58</v>
      </c>
      <c r="D25" t="s">
        <v>995</v>
      </c>
      <c r="E25">
        <v>4821.7439999999997</v>
      </c>
      <c r="F25">
        <v>12</v>
      </c>
      <c r="G25">
        <v>-33</v>
      </c>
      <c r="H25">
        <v>0.15</v>
      </c>
      <c r="I25" t="str">
        <f>VLOOKUP(C25,Table1[#All],3,FALSE)</f>
        <v>Africa</v>
      </c>
      <c r="J25" t="str">
        <f>VLOOKUP(C25,Table1[#All],4,FALSE)</f>
        <v>Home Office</v>
      </c>
      <c r="K25" t="str">
        <f>TEXT(Table13[[#This Row],[Order_Date]],"mmm-yyyy")</f>
        <v>Jun-2023</v>
      </c>
    </row>
    <row r="26" spans="1:11" x14ac:dyDescent="0.3">
      <c r="A26" t="s">
        <v>1473</v>
      </c>
      <c r="B26" s="1">
        <v>45435</v>
      </c>
      <c r="C26" t="s">
        <v>60</v>
      </c>
      <c r="D26" t="s">
        <v>995</v>
      </c>
      <c r="E26">
        <v>100000</v>
      </c>
      <c r="F26">
        <v>5</v>
      </c>
      <c r="G26">
        <v>2</v>
      </c>
      <c r="H26">
        <v>0</v>
      </c>
      <c r="I26" t="str">
        <f>VLOOKUP(C26,Table1[#All],3,FALSE)</f>
        <v>North America</v>
      </c>
      <c r="J26" t="str">
        <f>VLOOKUP(C26,Table1[#All],4,FALSE)</f>
        <v>Consumer</v>
      </c>
      <c r="K26" t="str">
        <f>TEXT(Table13[[#This Row],[Order_Date]],"mmm-yyyy")</f>
        <v>May-2024</v>
      </c>
    </row>
    <row r="27" spans="1:11" x14ac:dyDescent="0.3">
      <c r="A27" t="s">
        <v>1472</v>
      </c>
      <c r="B27" s="1">
        <v>45222</v>
      </c>
      <c r="C27" t="s">
        <v>62</v>
      </c>
      <c r="D27" t="s">
        <v>997</v>
      </c>
      <c r="E27">
        <v>7309.77</v>
      </c>
      <c r="F27">
        <v>13</v>
      </c>
      <c r="G27">
        <v>782</v>
      </c>
      <c r="H27">
        <v>0</v>
      </c>
      <c r="I27" t="str">
        <f>VLOOKUP(C27,Table1[#All],3,FALSE)</f>
        <v>Asia</v>
      </c>
      <c r="J27" t="str">
        <f>VLOOKUP(C27,Table1[#All],4,FALSE)</f>
        <v>Consumer</v>
      </c>
      <c r="K27" t="str">
        <f>TEXT(Table13[[#This Row],[Order_Date]],"mmm-yyyy")</f>
        <v>Oct-2023</v>
      </c>
    </row>
    <row r="28" spans="1:11" x14ac:dyDescent="0.3">
      <c r="A28" t="s">
        <v>1471</v>
      </c>
      <c r="B28" s="1">
        <v>45824</v>
      </c>
      <c r="C28" t="s">
        <v>64</v>
      </c>
      <c r="D28" t="s">
        <v>997</v>
      </c>
      <c r="E28">
        <v>101.73</v>
      </c>
      <c r="F28">
        <v>1</v>
      </c>
      <c r="G28">
        <v>370</v>
      </c>
      <c r="H28">
        <v>0</v>
      </c>
      <c r="I28" t="str">
        <f>VLOOKUP(C28,Table1[#All],3,FALSE)</f>
        <v>Europe</v>
      </c>
      <c r="J28" t="str">
        <f>VLOOKUP(C28,Table1[#All],4,FALSE)</f>
        <v>Consumer</v>
      </c>
      <c r="K28" t="str">
        <f>TEXT(Table13[[#This Row],[Order_Date]],"mmm-yyyy")</f>
        <v>Jun-2025</v>
      </c>
    </row>
    <row r="29" spans="1:11" x14ac:dyDescent="0.3">
      <c r="A29" t="s">
        <v>1470</v>
      </c>
      <c r="B29" s="1">
        <v>44988</v>
      </c>
      <c r="C29" t="s">
        <v>66</v>
      </c>
      <c r="D29" t="s">
        <v>997</v>
      </c>
      <c r="E29">
        <v>1117.96</v>
      </c>
      <c r="F29">
        <v>4</v>
      </c>
      <c r="G29">
        <v>-266</v>
      </c>
      <c r="H29">
        <v>0</v>
      </c>
      <c r="I29" t="str">
        <f>VLOOKUP(C29,Table1[#All],3,FALSE)</f>
        <v>North America</v>
      </c>
      <c r="J29" t="str">
        <f>VLOOKUP(C29,Table1[#All],4,FALSE)</f>
        <v>Home Office</v>
      </c>
      <c r="K29" t="str">
        <f>TEXT(Table13[[#This Row],[Order_Date]],"mmm-yyyy")</f>
        <v>Mar-2023</v>
      </c>
    </row>
    <row r="30" spans="1:11" x14ac:dyDescent="0.3">
      <c r="A30" t="s">
        <v>1469</v>
      </c>
      <c r="B30" s="1">
        <v>45614</v>
      </c>
      <c r="C30" t="s">
        <v>68</v>
      </c>
      <c r="D30" t="s">
        <v>1000</v>
      </c>
      <c r="E30">
        <v>151.76750000000001</v>
      </c>
      <c r="F30">
        <v>1</v>
      </c>
      <c r="G30">
        <v>-56</v>
      </c>
      <c r="H30">
        <v>0.15</v>
      </c>
      <c r="I30" t="str">
        <f>VLOOKUP(C30,Table1[#All],3,FALSE)</f>
        <v>South America</v>
      </c>
      <c r="J30" t="str">
        <f>VLOOKUP(C30,Table1[#All],4,FALSE)</f>
        <v>Consumer</v>
      </c>
      <c r="K30" t="str">
        <f>TEXT(Table13[[#This Row],[Order_Date]],"mmm-yyyy")</f>
        <v>Nov-2024</v>
      </c>
    </row>
    <row r="31" spans="1:11" x14ac:dyDescent="0.3">
      <c r="A31" t="s">
        <v>1468</v>
      </c>
      <c r="B31" s="1">
        <v>45174</v>
      </c>
      <c r="C31" t="s">
        <v>70</v>
      </c>
      <c r="D31" t="s">
        <v>995</v>
      </c>
      <c r="E31">
        <v>424.863</v>
      </c>
      <c r="F31">
        <v>1</v>
      </c>
      <c r="G31">
        <v>-1</v>
      </c>
      <c r="H31">
        <v>0.1</v>
      </c>
      <c r="I31" t="str">
        <f>VLOOKUP(C31,Table1[#All],3,FALSE)</f>
        <v>Africa</v>
      </c>
      <c r="J31" t="str">
        <f>VLOOKUP(C31,Table1[#All],4,FALSE)</f>
        <v>Corporate</v>
      </c>
      <c r="K31" t="str">
        <f>TEXT(Table13[[#This Row],[Order_Date]],"mmm-yyyy")</f>
        <v>Sep-2023</v>
      </c>
    </row>
    <row r="32" spans="1:11" x14ac:dyDescent="0.3">
      <c r="A32" t="s">
        <v>1467</v>
      </c>
      <c r="B32" s="1">
        <v>45485</v>
      </c>
      <c r="C32" t="s">
        <v>72</v>
      </c>
      <c r="D32" t="s">
        <v>1000</v>
      </c>
      <c r="E32">
        <v>3675.48</v>
      </c>
      <c r="F32">
        <v>12</v>
      </c>
      <c r="G32">
        <v>202</v>
      </c>
      <c r="H32">
        <v>0</v>
      </c>
      <c r="I32" t="str">
        <f>VLOOKUP(C32,Table1[#All],3,FALSE)</f>
        <v>North America</v>
      </c>
      <c r="J32" t="str">
        <f>VLOOKUP(C32,Table1[#All],4,FALSE)</f>
        <v>Home Office</v>
      </c>
      <c r="K32" t="str">
        <f>TEXT(Table13[[#This Row],[Order_Date]],"mmm-yyyy")</f>
        <v>Jul-2024</v>
      </c>
    </row>
    <row r="33" spans="1:11" x14ac:dyDescent="0.3">
      <c r="A33" t="s">
        <v>1466</v>
      </c>
      <c r="B33" s="1">
        <v>45335</v>
      </c>
      <c r="C33" t="s">
        <v>74</v>
      </c>
      <c r="D33" t="s">
        <v>995</v>
      </c>
      <c r="E33">
        <v>2586.8815</v>
      </c>
      <c r="F33">
        <v>7</v>
      </c>
      <c r="G33">
        <v>113</v>
      </c>
      <c r="H33">
        <v>0.15</v>
      </c>
      <c r="I33" t="str">
        <f>VLOOKUP(C33,Table1[#All],3,FALSE)</f>
        <v>North America</v>
      </c>
      <c r="J33" t="str">
        <f>VLOOKUP(C33,Table1[#All],4,FALSE)</f>
        <v>Consumer</v>
      </c>
      <c r="K33" t="str">
        <f>TEXT(Table13[[#This Row],[Order_Date]],"mmm-yyyy")</f>
        <v>Feb-2024</v>
      </c>
    </row>
    <row r="34" spans="1:11" x14ac:dyDescent="0.3">
      <c r="A34" t="s">
        <v>1465</v>
      </c>
      <c r="B34" s="1">
        <v>45903</v>
      </c>
      <c r="C34" t="s">
        <v>76</v>
      </c>
      <c r="D34" t="s">
        <v>997</v>
      </c>
      <c r="E34">
        <v>389.88</v>
      </c>
      <c r="F34">
        <v>6</v>
      </c>
      <c r="G34">
        <v>1303</v>
      </c>
      <c r="H34">
        <v>0</v>
      </c>
      <c r="I34" t="str">
        <f>VLOOKUP(C34,Table1[#All],3,FALSE)</f>
        <v>South America</v>
      </c>
      <c r="J34" t="str">
        <f>VLOOKUP(C34,Table1[#All],4,FALSE)</f>
        <v>Consumer</v>
      </c>
      <c r="K34" t="str">
        <f>TEXT(Table13[[#This Row],[Order_Date]],"mmm-yyyy")</f>
        <v>Sep-2025</v>
      </c>
    </row>
    <row r="35" spans="1:11" x14ac:dyDescent="0.3">
      <c r="A35" t="s">
        <v>1464</v>
      </c>
      <c r="B35" s="1">
        <v>45050</v>
      </c>
      <c r="C35" t="s">
        <v>78</v>
      </c>
      <c r="D35" t="s">
        <v>995</v>
      </c>
      <c r="E35">
        <v>8100.33</v>
      </c>
      <c r="F35">
        <v>17</v>
      </c>
      <c r="G35">
        <v>-15</v>
      </c>
      <c r="H35">
        <v>0</v>
      </c>
      <c r="I35" t="str">
        <f>VLOOKUP(C35,Table1[#All],3,FALSE)</f>
        <v>Africa</v>
      </c>
      <c r="J35" t="str">
        <f>VLOOKUP(C35,Table1[#All],4,FALSE)</f>
        <v>Home Office</v>
      </c>
      <c r="K35" t="str">
        <f>TEXT(Table13[[#This Row],[Order_Date]],"mmm-yyyy")</f>
        <v>May-2023</v>
      </c>
    </row>
    <row r="36" spans="1:11" x14ac:dyDescent="0.3">
      <c r="A36" t="s">
        <v>1463</v>
      </c>
      <c r="B36" s="1">
        <v>45874</v>
      </c>
      <c r="C36" t="s">
        <v>80</v>
      </c>
      <c r="D36" t="s">
        <v>1000</v>
      </c>
      <c r="E36">
        <v>1903.048</v>
      </c>
      <c r="F36">
        <v>4</v>
      </c>
      <c r="G36">
        <v>122</v>
      </c>
      <c r="H36">
        <v>0.15</v>
      </c>
      <c r="I36" t="str">
        <f>VLOOKUP(C36,Table1[#All],3,FALSE)</f>
        <v>North America</v>
      </c>
      <c r="J36" t="str">
        <f>VLOOKUP(C36,Table1[#All],4,FALSE)</f>
        <v>Corporate</v>
      </c>
      <c r="K36" t="str">
        <f>TEXT(Table13[[#This Row],[Order_Date]],"mmm-yyyy")</f>
        <v>Aug-2025</v>
      </c>
    </row>
    <row r="37" spans="1:11" x14ac:dyDescent="0.3">
      <c r="A37" t="s">
        <v>1462</v>
      </c>
      <c r="B37" s="1">
        <v>44994</v>
      </c>
      <c r="C37" t="s">
        <v>82</v>
      </c>
      <c r="D37" t="s">
        <v>997</v>
      </c>
      <c r="E37">
        <v>1149.96</v>
      </c>
      <c r="F37">
        <v>14</v>
      </c>
      <c r="G37">
        <v>-212</v>
      </c>
      <c r="H37">
        <v>0</v>
      </c>
      <c r="I37" t="str">
        <f>VLOOKUP(C37,Table1[#All],3,FALSE)</f>
        <v>North America</v>
      </c>
      <c r="J37" t="str">
        <f>VLOOKUP(C37,Table1[#All],4,FALSE)</f>
        <v>Home Office</v>
      </c>
      <c r="K37" t="str">
        <f>TEXT(Table13[[#This Row],[Order_Date]],"mmm-yyyy")</f>
        <v>Mar-2023</v>
      </c>
    </row>
    <row r="38" spans="1:11" x14ac:dyDescent="0.3">
      <c r="A38" t="s">
        <v>1461</v>
      </c>
      <c r="B38" s="1">
        <v>45737</v>
      </c>
      <c r="C38" t="s">
        <v>84</v>
      </c>
      <c r="D38" t="s">
        <v>995</v>
      </c>
      <c r="E38">
        <v>2934.4454999999998</v>
      </c>
      <c r="F38">
        <v>9</v>
      </c>
      <c r="G38">
        <v>-1</v>
      </c>
      <c r="H38">
        <v>0.05</v>
      </c>
      <c r="I38" t="str">
        <f>VLOOKUP(C38,Table1[#All],3,FALSE)</f>
        <v>Africa</v>
      </c>
      <c r="J38" t="str">
        <f>VLOOKUP(C38,Table1[#All],4,FALSE)</f>
        <v>Home Office</v>
      </c>
      <c r="K38" t="str">
        <f>TEXT(Table13[[#This Row],[Order_Date]],"mmm-yyyy")</f>
        <v>Mar-2025</v>
      </c>
    </row>
    <row r="39" spans="1:11" x14ac:dyDescent="0.3">
      <c r="A39" t="s">
        <v>1460</v>
      </c>
      <c r="B39" s="1">
        <v>45828</v>
      </c>
      <c r="C39" t="s">
        <v>86</v>
      </c>
      <c r="D39" t="s">
        <v>1000</v>
      </c>
      <c r="E39">
        <v>1791.0094999999999</v>
      </c>
      <c r="F39">
        <v>7</v>
      </c>
      <c r="G39">
        <v>802</v>
      </c>
      <c r="H39">
        <v>0.15</v>
      </c>
      <c r="I39" t="str">
        <f>VLOOKUP(C39,Table1[#All],3,FALSE)</f>
        <v>South America</v>
      </c>
      <c r="J39" t="str">
        <f>VLOOKUP(C39,Table1[#All],4,FALSE)</f>
        <v>Corporate</v>
      </c>
      <c r="K39" t="str">
        <f>TEXT(Table13[[#This Row],[Order_Date]],"mmm-yyyy")</f>
        <v>Jun-2025</v>
      </c>
    </row>
    <row r="40" spans="1:11" x14ac:dyDescent="0.3">
      <c r="A40" t="s">
        <v>1459</v>
      </c>
      <c r="B40" s="1">
        <v>45337</v>
      </c>
      <c r="C40" t="s">
        <v>88</v>
      </c>
      <c r="D40" t="s">
        <v>995</v>
      </c>
      <c r="E40">
        <v>5394.4380000000001</v>
      </c>
      <c r="F40">
        <v>14</v>
      </c>
      <c r="G40">
        <v>0</v>
      </c>
      <c r="H40">
        <v>0.1</v>
      </c>
      <c r="I40" t="str">
        <f>VLOOKUP(C40,Table1[#All],3,FALSE)</f>
        <v>Africa</v>
      </c>
      <c r="J40" t="str">
        <f>VLOOKUP(C40,Table1[#All],4,FALSE)</f>
        <v>Corporate</v>
      </c>
      <c r="K40" t="str">
        <f>TEXT(Table13[[#This Row],[Order_Date]],"mmm-yyyy")</f>
        <v>Feb-2024</v>
      </c>
    </row>
    <row r="41" spans="1:11" x14ac:dyDescent="0.3">
      <c r="A41" t="s">
        <v>1458</v>
      </c>
      <c r="B41" s="1">
        <v>45175</v>
      </c>
      <c r="C41" t="s">
        <v>90</v>
      </c>
      <c r="D41" t="s">
        <v>995</v>
      </c>
      <c r="E41">
        <v>855.57600000000002</v>
      </c>
      <c r="F41">
        <v>2</v>
      </c>
      <c r="G41">
        <v>-7</v>
      </c>
      <c r="H41">
        <v>0.15</v>
      </c>
      <c r="I41" t="str">
        <f>VLOOKUP(C41,Table1[#All],3,FALSE)</f>
        <v>Africa</v>
      </c>
      <c r="J41" t="str">
        <f>VLOOKUP(C41,Table1[#All],4,FALSE)</f>
        <v>Consumer</v>
      </c>
      <c r="K41" t="str">
        <f>TEXT(Table13[[#This Row],[Order_Date]],"mmm-yyyy")</f>
        <v>Sep-2023</v>
      </c>
    </row>
    <row r="42" spans="1:11" x14ac:dyDescent="0.3">
      <c r="A42" t="s">
        <v>1457</v>
      </c>
      <c r="B42" s="1">
        <v>45207</v>
      </c>
      <c r="C42" t="s">
        <v>92</v>
      </c>
      <c r="D42" t="s">
        <v>995</v>
      </c>
      <c r="E42">
        <v>2116.44</v>
      </c>
      <c r="F42">
        <v>5</v>
      </c>
      <c r="G42">
        <v>564</v>
      </c>
      <c r="H42">
        <v>0.1</v>
      </c>
      <c r="I42" t="str">
        <f>VLOOKUP(C42,Table1[#All],3,FALSE)</f>
        <v>South America</v>
      </c>
      <c r="J42" t="str">
        <f>VLOOKUP(C42,Table1[#All],4,FALSE)</f>
        <v>Consumer</v>
      </c>
      <c r="K42" t="str">
        <f>TEXT(Table13[[#This Row],[Order_Date]],"mmm-yyyy")</f>
        <v>Oct-2023</v>
      </c>
    </row>
    <row r="43" spans="1:11" x14ac:dyDescent="0.3">
      <c r="A43" t="s">
        <v>1456</v>
      </c>
      <c r="B43" s="1">
        <v>45459</v>
      </c>
      <c r="C43" t="s">
        <v>94</v>
      </c>
      <c r="D43" t="s">
        <v>995</v>
      </c>
      <c r="E43">
        <v>1238.23</v>
      </c>
      <c r="F43">
        <v>20</v>
      </c>
      <c r="G43">
        <v>3</v>
      </c>
      <c r="H43">
        <v>0.05</v>
      </c>
      <c r="I43" t="str">
        <f>VLOOKUP(C43,Table1[#All],3,FALSE)</f>
        <v>Africa</v>
      </c>
      <c r="J43" t="str">
        <f>VLOOKUP(C43,Table1[#All],4,FALSE)</f>
        <v>Home Office</v>
      </c>
      <c r="K43" t="str">
        <f>TEXT(Table13[[#This Row],[Order_Date]],"mmm-yyyy")</f>
        <v>Jun-2024</v>
      </c>
    </row>
    <row r="44" spans="1:11" x14ac:dyDescent="0.3">
      <c r="A44" t="s">
        <v>1455</v>
      </c>
      <c r="B44" s="1">
        <v>45130</v>
      </c>
      <c r="C44" t="s">
        <v>96</v>
      </c>
      <c r="D44" t="s">
        <v>997</v>
      </c>
      <c r="E44">
        <v>434.04</v>
      </c>
      <c r="F44">
        <v>12</v>
      </c>
      <c r="G44">
        <v>-77</v>
      </c>
      <c r="H44">
        <v>0</v>
      </c>
      <c r="I44" t="str">
        <f>VLOOKUP(C44,Table1[#All],3,FALSE)</f>
        <v>South America</v>
      </c>
      <c r="J44" t="str">
        <f>VLOOKUP(C44,Table1[#All],4,FALSE)</f>
        <v>Consumer</v>
      </c>
      <c r="K44" t="str">
        <f>TEXT(Table13[[#This Row],[Order_Date]],"mmm-yyyy")</f>
        <v>Jul-2023</v>
      </c>
    </row>
    <row r="45" spans="1:11" x14ac:dyDescent="0.3">
      <c r="A45" t="s">
        <v>1454</v>
      </c>
      <c r="B45" s="1">
        <v>45066</v>
      </c>
      <c r="C45" t="s">
        <v>98</v>
      </c>
      <c r="D45" t="s">
        <v>995</v>
      </c>
      <c r="E45">
        <v>1561.654</v>
      </c>
      <c r="F45">
        <v>4</v>
      </c>
      <c r="G45">
        <v>5</v>
      </c>
      <c r="H45">
        <v>0.15</v>
      </c>
      <c r="I45" t="str">
        <f>VLOOKUP(C45,Table1[#All],3,FALSE)</f>
        <v>Africa</v>
      </c>
      <c r="J45" t="str">
        <f>VLOOKUP(C45,Table1[#All],4,FALSE)</f>
        <v>Home Office</v>
      </c>
      <c r="K45" t="str">
        <f>TEXT(Table13[[#This Row],[Order_Date]],"mmm-yyyy")</f>
        <v>May-2023</v>
      </c>
    </row>
    <row r="46" spans="1:11" x14ac:dyDescent="0.3">
      <c r="A46" t="s">
        <v>1453</v>
      </c>
      <c r="B46" s="1">
        <v>45107</v>
      </c>
      <c r="C46" t="s">
        <v>100</v>
      </c>
      <c r="D46" t="s">
        <v>1000</v>
      </c>
      <c r="E46">
        <v>790.51400000000001</v>
      </c>
      <c r="F46">
        <v>2</v>
      </c>
      <c r="G46">
        <v>980</v>
      </c>
      <c r="H46">
        <v>0.05</v>
      </c>
      <c r="I46" t="str">
        <f>VLOOKUP(C46,Table1[#All],3,FALSE)</f>
        <v>South America</v>
      </c>
      <c r="J46" t="str">
        <f>VLOOKUP(C46,Table1[#All],4,FALSE)</f>
        <v>Corporate</v>
      </c>
      <c r="K46" t="str">
        <f>TEXT(Table13[[#This Row],[Order_Date]],"mmm-yyyy")</f>
        <v>Jun-2023</v>
      </c>
    </row>
    <row r="47" spans="1:11" x14ac:dyDescent="0.3">
      <c r="A47" t="s">
        <v>1452</v>
      </c>
      <c r="B47" s="1">
        <v>45388</v>
      </c>
      <c r="C47" t="s">
        <v>102</v>
      </c>
      <c r="D47" t="s">
        <v>997</v>
      </c>
      <c r="E47">
        <v>4841.28</v>
      </c>
      <c r="F47">
        <v>16</v>
      </c>
      <c r="G47">
        <v>-448</v>
      </c>
      <c r="H47">
        <v>0</v>
      </c>
      <c r="I47" t="str">
        <f>VLOOKUP(C47,Table1[#All],3,FALSE)</f>
        <v>South America</v>
      </c>
      <c r="J47" t="str">
        <f>VLOOKUP(C47,Table1[#All],4,FALSE)</f>
        <v>Corporate</v>
      </c>
      <c r="K47" t="str">
        <f>TEXT(Table13[[#This Row],[Order_Date]],"mmm-yyyy")</f>
        <v>Apr-2024</v>
      </c>
    </row>
    <row r="48" spans="1:11" x14ac:dyDescent="0.3">
      <c r="A48" t="s">
        <v>1451</v>
      </c>
      <c r="B48" s="1">
        <v>45718</v>
      </c>
      <c r="C48" t="s">
        <v>104</v>
      </c>
      <c r="D48" t="s">
        <v>997</v>
      </c>
      <c r="E48">
        <v>309.76549999999997</v>
      </c>
      <c r="F48">
        <v>11</v>
      </c>
      <c r="G48">
        <v>340</v>
      </c>
      <c r="H48">
        <v>0.15</v>
      </c>
      <c r="I48" t="str">
        <f>VLOOKUP(C48,Table1[#All],3,FALSE)</f>
        <v>Europe</v>
      </c>
      <c r="J48" t="str">
        <f>VLOOKUP(C48,Table1[#All],4,FALSE)</f>
        <v>Home Office</v>
      </c>
      <c r="K48" t="str">
        <f>TEXT(Table13[[#This Row],[Order_Date]],"mmm-yyyy")</f>
        <v>Mar-2025</v>
      </c>
    </row>
    <row r="49" spans="1:11" x14ac:dyDescent="0.3">
      <c r="A49" t="s">
        <v>1450</v>
      </c>
      <c r="B49" s="1">
        <v>45536</v>
      </c>
      <c r="C49" t="s">
        <v>106</v>
      </c>
      <c r="D49" t="s">
        <v>1000</v>
      </c>
      <c r="E49">
        <v>3961.136</v>
      </c>
      <c r="F49">
        <v>8</v>
      </c>
      <c r="G49">
        <v>460</v>
      </c>
      <c r="H49">
        <v>0.15</v>
      </c>
      <c r="I49" t="str">
        <f>VLOOKUP(C49,Table1[#All],3,FALSE)</f>
        <v>Asia</v>
      </c>
      <c r="J49" t="str">
        <f>VLOOKUP(C49,Table1[#All],4,FALSE)</f>
        <v>Consumer</v>
      </c>
      <c r="K49" t="str">
        <f>TEXT(Table13[[#This Row],[Order_Date]],"mmm-yyyy")</f>
        <v>Sep-2024</v>
      </c>
    </row>
    <row r="50" spans="1:11" x14ac:dyDescent="0.3">
      <c r="A50" t="s">
        <v>1449</v>
      </c>
      <c r="B50" s="1">
        <v>45365</v>
      </c>
      <c r="C50" t="s">
        <v>108</v>
      </c>
      <c r="D50" t="s">
        <v>995</v>
      </c>
      <c r="E50">
        <v>743.17499999999995</v>
      </c>
      <c r="F50">
        <v>5</v>
      </c>
      <c r="G50">
        <v>0</v>
      </c>
      <c r="H50">
        <v>0.1</v>
      </c>
      <c r="I50" t="str">
        <f>VLOOKUP(C50,Table1[#All],3,FALSE)</f>
        <v>North America</v>
      </c>
      <c r="J50" t="str">
        <f>VLOOKUP(C50,Table1[#All],4,FALSE)</f>
        <v>Consumer</v>
      </c>
      <c r="K50" t="str">
        <f>TEXT(Table13[[#This Row],[Order_Date]],"mmm-yyyy")</f>
        <v>Mar-2024</v>
      </c>
    </row>
    <row r="51" spans="1:11" x14ac:dyDescent="0.3">
      <c r="A51" t="s">
        <v>1448</v>
      </c>
      <c r="B51" s="1">
        <v>45452</v>
      </c>
      <c r="C51" t="s">
        <v>110</v>
      </c>
      <c r="D51" t="s">
        <v>997</v>
      </c>
      <c r="E51">
        <v>2889.558</v>
      </c>
      <c r="F51">
        <v>14</v>
      </c>
      <c r="G51">
        <v>-439</v>
      </c>
      <c r="H51">
        <v>0.15</v>
      </c>
      <c r="I51" t="str">
        <f>VLOOKUP(C51,Table1[#All],3,FALSE)</f>
        <v>Europe</v>
      </c>
      <c r="J51" t="str">
        <f>VLOOKUP(C51,Table1[#All],4,FALSE)</f>
        <v>Consumer</v>
      </c>
      <c r="K51" t="str">
        <f>TEXT(Table13[[#This Row],[Order_Date]],"mmm-yyyy")</f>
        <v>Jun-2024</v>
      </c>
    </row>
    <row r="52" spans="1:11" x14ac:dyDescent="0.3">
      <c r="A52" t="s">
        <v>1447</v>
      </c>
      <c r="B52" s="1">
        <v>45002</v>
      </c>
      <c r="C52" t="s">
        <v>112</v>
      </c>
      <c r="D52" t="s">
        <v>997</v>
      </c>
      <c r="E52">
        <v>772.08299999999997</v>
      </c>
      <c r="F52">
        <v>13</v>
      </c>
      <c r="G52">
        <v>106</v>
      </c>
      <c r="H52">
        <v>0.1</v>
      </c>
      <c r="I52" t="str">
        <f>VLOOKUP(C52,Table1[#All],3,FALSE)</f>
        <v>Asia</v>
      </c>
      <c r="J52" t="str">
        <f>VLOOKUP(C52,Table1[#All],4,FALSE)</f>
        <v>Corporate</v>
      </c>
      <c r="K52" t="str">
        <f>TEXT(Table13[[#This Row],[Order_Date]],"mmm-yyyy")</f>
        <v>Mar-2023</v>
      </c>
    </row>
    <row r="53" spans="1:11" x14ac:dyDescent="0.3">
      <c r="A53" t="s">
        <v>1446</v>
      </c>
      <c r="B53" s="1">
        <v>45674</v>
      </c>
      <c r="C53" t="s">
        <v>114</v>
      </c>
      <c r="D53" t="s">
        <v>995</v>
      </c>
      <c r="E53">
        <v>503.38</v>
      </c>
      <c r="F53">
        <v>2</v>
      </c>
      <c r="G53">
        <v>-123</v>
      </c>
      <c r="H53">
        <v>0</v>
      </c>
      <c r="I53" t="str">
        <f>VLOOKUP(C53,Table1[#All],3,FALSE)</f>
        <v>Europe</v>
      </c>
      <c r="J53" t="str">
        <f>VLOOKUP(C53,Table1[#All],4,FALSE)</f>
        <v>Home Office</v>
      </c>
      <c r="K53" t="str">
        <f>TEXT(Table13[[#This Row],[Order_Date]],"mmm-yyyy")</f>
        <v>Jan-2025</v>
      </c>
    </row>
    <row r="54" spans="1:11" x14ac:dyDescent="0.3">
      <c r="A54" t="s">
        <v>1445</v>
      </c>
      <c r="B54" s="1">
        <v>45635</v>
      </c>
      <c r="C54" t="s">
        <v>116</v>
      </c>
      <c r="D54" t="s">
        <v>995</v>
      </c>
      <c r="E54">
        <v>242.46899999999999</v>
      </c>
      <c r="F54">
        <v>1</v>
      </c>
      <c r="G54">
        <v>239</v>
      </c>
      <c r="H54">
        <v>0.1</v>
      </c>
      <c r="I54" t="str">
        <f>VLOOKUP(C54,Table1[#All],3,FALSE)</f>
        <v>South America</v>
      </c>
      <c r="J54" t="str">
        <f>VLOOKUP(C54,Table1[#All],4,FALSE)</f>
        <v>Corporate</v>
      </c>
      <c r="K54" t="str">
        <f>TEXT(Table13[[#This Row],[Order_Date]],"mmm-yyyy")</f>
        <v>Dec-2024</v>
      </c>
    </row>
    <row r="55" spans="1:11" x14ac:dyDescent="0.3">
      <c r="A55" t="s">
        <v>1444</v>
      </c>
      <c r="B55" s="1">
        <v>45413</v>
      </c>
      <c r="C55" t="s">
        <v>118</v>
      </c>
      <c r="D55" t="s">
        <v>995</v>
      </c>
      <c r="E55">
        <v>705.47</v>
      </c>
      <c r="F55">
        <v>2</v>
      </c>
      <c r="G55">
        <v>199</v>
      </c>
      <c r="H55">
        <v>0.05</v>
      </c>
      <c r="I55" t="str">
        <f>VLOOKUP(C55,Table1[#All],3,FALSE)</f>
        <v>South America</v>
      </c>
      <c r="J55" t="str">
        <f>VLOOKUP(C55,Table1[#All],4,FALSE)</f>
        <v>Consumer</v>
      </c>
      <c r="K55" t="str">
        <f>TEXT(Table13[[#This Row],[Order_Date]],"mmm-yyyy")</f>
        <v>May-2024</v>
      </c>
    </row>
    <row r="56" spans="1:11" x14ac:dyDescent="0.3">
      <c r="A56" t="s">
        <v>1443</v>
      </c>
      <c r="B56" s="1">
        <v>45401</v>
      </c>
      <c r="C56" t="s">
        <v>120</v>
      </c>
      <c r="D56" t="s">
        <v>995</v>
      </c>
      <c r="E56">
        <v>2695.0439999999999</v>
      </c>
      <c r="F56">
        <v>11</v>
      </c>
      <c r="G56">
        <v>-2</v>
      </c>
      <c r="H56">
        <v>0.15</v>
      </c>
      <c r="I56" t="str">
        <f>VLOOKUP(C56,Table1[#All],3,FALSE)</f>
        <v>Europe</v>
      </c>
      <c r="J56" t="str">
        <f>VLOOKUP(C56,Table1[#All],4,FALSE)</f>
        <v>Consumer</v>
      </c>
      <c r="K56" t="str">
        <f>TEXT(Table13[[#This Row],[Order_Date]],"mmm-yyyy")</f>
        <v>Apr-2024</v>
      </c>
    </row>
    <row r="57" spans="1:11" x14ac:dyDescent="0.3">
      <c r="A57" t="s">
        <v>1442</v>
      </c>
      <c r="B57" s="1">
        <v>45967</v>
      </c>
      <c r="C57" t="s">
        <v>122</v>
      </c>
      <c r="D57" t="s">
        <v>995</v>
      </c>
      <c r="E57">
        <v>2432.2375000000002</v>
      </c>
      <c r="F57">
        <v>11</v>
      </c>
      <c r="G57">
        <v>624</v>
      </c>
      <c r="H57">
        <v>0.05</v>
      </c>
      <c r="I57" t="str">
        <f>VLOOKUP(C57,Table1[#All],3,FALSE)</f>
        <v>Africa</v>
      </c>
      <c r="J57" t="str">
        <f>VLOOKUP(C57,Table1[#All],4,FALSE)</f>
        <v>Home Office</v>
      </c>
      <c r="K57" t="str">
        <f>TEXT(Table13[[#This Row],[Order_Date]],"mmm-yyyy")</f>
        <v>Nov-2025</v>
      </c>
    </row>
    <row r="58" spans="1:11" x14ac:dyDescent="0.3">
      <c r="A58" t="s">
        <v>1441</v>
      </c>
      <c r="B58" s="1">
        <v>45811</v>
      </c>
      <c r="C58" t="s">
        <v>124</v>
      </c>
      <c r="D58" t="s">
        <v>1000</v>
      </c>
      <c r="E58">
        <v>2113.7460000000001</v>
      </c>
      <c r="F58">
        <v>17</v>
      </c>
      <c r="G58">
        <v>206</v>
      </c>
      <c r="H58">
        <v>0.15</v>
      </c>
      <c r="I58" t="str">
        <f>VLOOKUP(C58,Table1[#All],3,FALSE)</f>
        <v>Asia</v>
      </c>
      <c r="J58" t="str">
        <f>VLOOKUP(C58,Table1[#All],4,FALSE)</f>
        <v>Home Office</v>
      </c>
      <c r="K58" t="str">
        <f>TEXT(Table13[[#This Row],[Order_Date]],"mmm-yyyy")</f>
        <v>Jun-2025</v>
      </c>
    </row>
    <row r="59" spans="1:11" x14ac:dyDescent="0.3">
      <c r="A59" t="s">
        <v>1440</v>
      </c>
      <c r="B59" s="1">
        <v>45070</v>
      </c>
      <c r="C59" t="s">
        <v>126</v>
      </c>
      <c r="D59" t="s">
        <v>995</v>
      </c>
      <c r="E59">
        <v>451.71</v>
      </c>
      <c r="F59">
        <v>5</v>
      </c>
      <c r="G59">
        <v>-5</v>
      </c>
      <c r="H59">
        <v>0.1</v>
      </c>
      <c r="I59" t="str">
        <f>VLOOKUP(C59,Table1[#All],3,FALSE)</f>
        <v>Asia</v>
      </c>
      <c r="J59" t="str">
        <f>VLOOKUP(C59,Table1[#All],4,FALSE)</f>
        <v>Consumer</v>
      </c>
      <c r="K59" t="str">
        <f>TEXT(Table13[[#This Row],[Order_Date]],"mmm-yyyy")</f>
        <v>May-2023</v>
      </c>
    </row>
    <row r="60" spans="1:11" x14ac:dyDescent="0.3">
      <c r="A60" t="s">
        <v>1439</v>
      </c>
      <c r="B60" s="1">
        <v>44953</v>
      </c>
      <c r="C60" t="s">
        <v>128</v>
      </c>
      <c r="D60" t="s">
        <v>995</v>
      </c>
      <c r="E60">
        <v>3923.7660000000001</v>
      </c>
      <c r="F60">
        <v>11</v>
      </c>
      <c r="G60">
        <v>4</v>
      </c>
      <c r="H60">
        <v>0.05</v>
      </c>
      <c r="I60" t="str">
        <f>VLOOKUP(C60,Table1[#All],3,FALSE)</f>
        <v>South America</v>
      </c>
      <c r="J60" t="str">
        <f>VLOOKUP(C60,Table1[#All],4,FALSE)</f>
        <v>Home Office</v>
      </c>
      <c r="K60" t="str">
        <f>TEXT(Table13[[#This Row],[Order_Date]],"mmm-yyyy")</f>
        <v>Jan-2023</v>
      </c>
    </row>
    <row r="61" spans="1:11" x14ac:dyDescent="0.3">
      <c r="A61" t="s">
        <v>1438</v>
      </c>
      <c r="B61" s="1">
        <v>45372</v>
      </c>
      <c r="C61" t="s">
        <v>130</v>
      </c>
      <c r="D61" t="s">
        <v>1000</v>
      </c>
      <c r="E61">
        <v>5418.8190000000004</v>
      </c>
      <c r="F61">
        <v>18</v>
      </c>
      <c r="G61">
        <v>1864</v>
      </c>
      <c r="H61">
        <v>0.05</v>
      </c>
      <c r="I61" t="str">
        <f>VLOOKUP(C61,Table1[#All],3,FALSE)</f>
        <v>South America</v>
      </c>
      <c r="J61" t="str">
        <f>VLOOKUP(C61,Table1[#All],4,FALSE)</f>
        <v>Consumer</v>
      </c>
      <c r="K61" t="str">
        <f>TEXT(Table13[[#This Row],[Order_Date]],"mmm-yyyy")</f>
        <v>Mar-2024</v>
      </c>
    </row>
    <row r="62" spans="1:11" x14ac:dyDescent="0.3">
      <c r="A62" t="s">
        <v>1437</v>
      </c>
      <c r="B62" s="1">
        <v>45682</v>
      </c>
      <c r="C62" t="s">
        <v>132</v>
      </c>
      <c r="D62" t="s">
        <v>997</v>
      </c>
      <c r="E62">
        <v>5016.0200000000004</v>
      </c>
      <c r="F62">
        <v>20</v>
      </c>
      <c r="G62">
        <v>147</v>
      </c>
      <c r="H62">
        <v>0.15</v>
      </c>
      <c r="I62" t="str">
        <f>VLOOKUP(C62,Table1[#All],3,FALSE)</f>
        <v>Europe</v>
      </c>
      <c r="J62" t="str">
        <f>VLOOKUP(C62,Table1[#All],4,FALSE)</f>
        <v>Home Office</v>
      </c>
      <c r="K62" t="str">
        <f>TEXT(Table13[[#This Row],[Order_Date]],"mmm-yyyy")</f>
        <v>Jan-2025</v>
      </c>
    </row>
    <row r="63" spans="1:11" x14ac:dyDescent="0.3">
      <c r="A63" t="s">
        <v>1436</v>
      </c>
      <c r="B63" s="1">
        <v>45266</v>
      </c>
      <c r="C63" t="s">
        <v>134</v>
      </c>
      <c r="D63" t="s">
        <v>995</v>
      </c>
      <c r="E63">
        <v>2413.44</v>
      </c>
      <c r="F63">
        <v>8</v>
      </c>
      <c r="G63">
        <v>2</v>
      </c>
      <c r="H63">
        <v>0</v>
      </c>
      <c r="I63" t="str">
        <f>VLOOKUP(C63,Table1[#All],3,FALSE)</f>
        <v>Africa</v>
      </c>
      <c r="J63" t="str">
        <f>VLOOKUP(C63,Table1[#All],4,FALSE)</f>
        <v>Corporate</v>
      </c>
      <c r="K63" t="str">
        <f>TEXT(Table13[[#This Row],[Order_Date]],"mmm-yyyy")</f>
        <v>Dec-2023</v>
      </c>
    </row>
    <row r="64" spans="1:11" x14ac:dyDescent="0.3">
      <c r="A64" t="s">
        <v>1435</v>
      </c>
      <c r="B64" s="1">
        <v>45738</v>
      </c>
      <c r="C64" t="s">
        <v>136</v>
      </c>
      <c r="D64" t="s">
        <v>997</v>
      </c>
      <c r="E64">
        <v>1283.5530000000001</v>
      </c>
      <c r="F64">
        <v>3</v>
      </c>
      <c r="G64">
        <v>-193</v>
      </c>
      <c r="H64">
        <v>0.1</v>
      </c>
      <c r="I64" t="str">
        <f>VLOOKUP(C64,Table1[#All],3,FALSE)</f>
        <v>Africa</v>
      </c>
      <c r="J64" t="str">
        <f>VLOOKUP(C64,Table1[#All],4,FALSE)</f>
        <v>Home Office</v>
      </c>
      <c r="K64" t="str">
        <f>TEXT(Table13[[#This Row],[Order_Date]],"mmm-yyyy")</f>
        <v>Mar-2025</v>
      </c>
    </row>
    <row r="65" spans="1:11" x14ac:dyDescent="0.3">
      <c r="A65" t="s">
        <v>1434</v>
      </c>
      <c r="B65" s="1">
        <v>45346</v>
      </c>
      <c r="C65" t="s">
        <v>138</v>
      </c>
      <c r="D65" t="s">
        <v>997</v>
      </c>
      <c r="E65">
        <v>642.6</v>
      </c>
      <c r="F65">
        <v>16</v>
      </c>
      <c r="G65">
        <v>527</v>
      </c>
      <c r="H65">
        <v>0.15</v>
      </c>
      <c r="I65" t="str">
        <f>VLOOKUP(C65,Table1[#All],3,FALSE)</f>
        <v>Africa</v>
      </c>
      <c r="J65" t="str">
        <f>VLOOKUP(C65,Table1[#All],4,FALSE)</f>
        <v>Corporate</v>
      </c>
      <c r="K65" t="str">
        <f>TEXT(Table13[[#This Row],[Order_Date]],"mmm-yyyy")</f>
        <v>Feb-2024</v>
      </c>
    </row>
    <row r="66" spans="1:11" x14ac:dyDescent="0.3">
      <c r="A66" t="s">
        <v>1433</v>
      </c>
      <c r="B66" s="1">
        <v>45181</v>
      </c>
      <c r="C66" t="s">
        <v>140</v>
      </c>
      <c r="D66" t="s">
        <v>1000</v>
      </c>
      <c r="E66">
        <v>7667.55</v>
      </c>
      <c r="F66">
        <v>15</v>
      </c>
      <c r="G66">
        <v>342</v>
      </c>
      <c r="H66">
        <v>0</v>
      </c>
      <c r="I66" t="str">
        <f>VLOOKUP(C66,Table1[#All],3,FALSE)</f>
        <v>South America</v>
      </c>
      <c r="J66" t="str">
        <f>VLOOKUP(C66,Table1[#All],4,FALSE)</f>
        <v>Consumer</v>
      </c>
      <c r="K66" t="str">
        <f>TEXT(Table13[[#This Row],[Order_Date]],"mmm-yyyy")</f>
        <v>Sep-2023</v>
      </c>
    </row>
    <row r="67" spans="1:11" x14ac:dyDescent="0.3">
      <c r="A67" t="s">
        <v>1432</v>
      </c>
      <c r="B67" s="1">
        <v>44936</v>
      </c>
      <c r="C67" t="s">
        <v>142</v>
      </c>
      <c r="D67" t="s">
        <v>995</v>
      </c>
      <c r="E67">
        <v>179.76599999999999</v>
      </c>
      <c r="F67">
        <v>3</v>
      </c>
      <c r="G67">
        <v>7</v>
      </c>
      <c r="H67">
        <v>0.1</v>
      </c>
      <c r="I67" t="str">
        <f>VLOOKUP(C67,Table1[#All],3,FALSE)</f>
        <v>Africa</v>
      </c>
      <c r="J67" t="str">
        <f>VLOOKUP(C67,Table1[#All],4,FALSE)</f>
        <v>Consumer</v>
      </c>
      <c r="K67" t="str">
        <f>TEXT(Table13[[#This Row],[Order_Date]],"mmm-yyyy")</f>
        <v>Jan-2023</v>
      </c>
    </row>
    <row r="68" spans="1:11" x14ac:dyDescent="0.3">
      <c r="A68" t="s">
        <v>1431</v>
      </c>
      <c r="B68" s="1">
        <v>45138</v>
      </c>
      <c r="C68" t="s">
        <v>144</v>
      </c>
      <c r="D68" t="s">
        <v>995</v>
      </c>
      <c r="E68">
        <v>2329.9699999999998</v>
      </c>
      <c r="F68">
        <v>5</v>
      </c>
      <c r="G68">
        <v>2</v>
      </c>
      <c r="H68">
        <v>0.05</v>
      </c>
      <c r="I68" t="str">
        <f>VLOOKUP(C68,Table1[#All],3,FALSE)</f>
        <v>Europe</v>
      </c>
      <c r="J68" t="str">
        <f>VLOOKUP(C68,Table1[#All],4,FALSE)</f>
        <v>Corporate</v>
      </c>
      <c r="K68" t="str">
        <f>TEXT(Table13[[#This Row],[Order_Date]],"mmm-yyyy")</f>
        <v>Jul-2023</v>
      </c>
    </row>
    <row r="69" spans="1:11" x14ac:dyDescent="0.3">
      <c r="A69" t="s">
        <v>1430</v>
      </c>
      <c r="B69" s="1">
        <v>45650</v>
      </c>
      <c r="C69" t="s">
        <v>146</v>
      </c>
      <c r="D69" t="s">
        <v>995</v>
      </c>
      <c r="E69">
        <v>3085.2959999999998</v>
      </c>
      <c r="F69">
        <v>8</v>
      </c>
      <c r="G69">
        <v>-12</v>
      </c>
      <c r="H69">
        <v>0.05</v>
      </c>
      <c r="I69" t="str">
        <f>VLOOKUP(C69,Table1[#All],3,FALSE)</f>
        <v>South America</v>
      </c>
      <c r="J69" t="str">
        <f>VLOOKUP(C69,Table1[#All],4,FALSE)</f>
        <v>Corporate</v>
      </c>
      <c r="K69" t="str">
        <f>TEXT(Table13[[#This Row],[Order_Date]],"mmm-yyyy")</f>
        <v>Dec-2024</v>
      </c>
    </row>
    <row r="70" spans="1:11" x14ac:dyDescent="0.3">
      <c r="A70" t="s">
        <v>1429</v>
      </c>
      <c r="B70" s="1">
        <v>45611</v>
      </c>
      <c r="C70" t="s">
        <v>148</v>
      </c>
      <c r="D70" t="s">
        <v>1000</v>
      </c>
      <c r="E70">
        <v>143.46899999999999</v>
      </c>
      <c r="F70">
        <v>1</v>
      </c>
      <c r="G70">
        <v>536</v>
      </c>
      <c r="H70">
        <v>0.1</v>
      </c>
      <c r="I70" t="str">
        <f>VLOOKUP(C70,Table1[#All],3,FALSE)</f>
        <v>North America</v>
      </c>
      <c r="J70" t="str">
        <f>VLOOKUP(C70,Table1[#All],4,FALSE)</f>
        <v>Corporate</v>
      </c>
      <c r="K70" t="str">
        <f>TEXT(Table13[[#This Row],[Order_Date]],"mmm-yyyy")</f>
        <v>Nov-2024</v>
      </c>
    </row>
    <row r="71" spans="1:11" x14ac:dyDescent="0.3">
      <c r="A71" t="s">
        <v>1428</v>
      </c>
      <c r="B71" s="1">
        <v>45729</v>
      </c>
      <c r="C71" t="s">
        <v>150</v>
      </c>
      <c r="D71" t="s">
        <v>997</v>
      </c>
      <c r="E71">
        <v>523.46400000000006</v>
      </c>
      <c r="F71">
        <v>16</v>
      </c>
      <c r="G71">
        <v>-38</v>
      </c>
      <c r="H71">
        <v>0.15</v>
      </c>
      <c r="I71" t="str">
        <f>VLOOKUP(C71,Table1[#All],3,FALSE)</f>
        <v>Europe</v>
      </c>
      <c r="J71" t="str">
        <f>VLOOKUP(C71,Table1[#All],4,FALSE)</f>
        <v>Home Office</v>
      </c>
      <c r="K71" t="str">
        <f>TEXT(Table13[[#This Row],[Order_Date]],"mmm-yyyy")</f>
        <v>Mar-2025</v>
      </c>
    </row>
    <row r="72" spans="1:11" x14ac:dyDescent="0.3">
      <c r="A72" t="s">
        <v>1427</v>
      </c>
      <c r="B72" s="1">
        <v>45354</v>
      </c>
      <c r="C72" t="s">
        <v>152</v>
      </c>
      <c r="D72" t="s">
        <v>997</v>
      </c>
      <c r="E72">
        <v>4186.59</v>
      </c>
      <c r="F72">
        <v>15</v>
      </c>
      <c r="G72">
        <v>573</v>
      </c>
      <c r="H72">
        <v>0.15</v>
      </c>
      <c r="I72" t="str">
        <f>VLOOKUP(C72,Table1[#All],3,FALSE)</f>
        <v>Asia</v>
      </c>
      <c r="J72" t="str">
        <f>VLOOKUP(C72,Table1[#All],4,FALSE)</f>
        <v>Consumer</v>
      </c>
      <c r="K72" t="str">
        <f>TEXT(Table13[[#This Row],[Order_Date]],"mmm-yyyy")</f>
        <v>Mar-2024</v>
      </c>
    </row>
    <row r="73" spans="1:11" x14ac:dyDescent="0.3">
      <c r="A73" t="s">
        <v>1426</v>
      </c>
      <c r="B73" s="1">
        <v>45232</v>
      </c>
      <c r="C73" t="s">
        <v>154</v>
      </c>
      <c r="D73" t="s">
        <v>997</v>
      </c>
      <c r="E73">
        <v>9864.18</v>
      </c>
      <c r="F73">
        <v>20</v>
      </c>
      <c r="G73">
        <v>-16</v>
      </c>
      <c r="H73">
        <v>0.1</v>
      </c>
      <c r="I73" t="str">
        <f>VLOOKUP(C73,Table1[#All],3,FALSE)</f>
        <v>Africa</v>
      </c>
      <c r="J73" t="str">
        <f>VLOOKUP(C73,Table1[#All],4,FALSE)</f>
        <v>Corporate</v>
      </c>
      <c r="K73" t="str">
        <f>TEXT(Table13[[#This Row],[Order_Date]],"mmm-yyyy")</f>
        <v>Nov-2023</v>
      </c>
    </row>
    <row r="74" spans="1:11" x14ac:dyDescent="0.3">
      <c r="A74" t="s">
        <v>1425</v>
      </c>
      <c r="B74" s="1">
        <v>45225</v>
      </c>
      <c r="C74" t="s">
        <v>156</v>
      </c>
      <c r="D74" t="s">
        <v>995</v>
      </c>
      <c r="E74">
        <v>5982.9575000000004</v>
      </c>
      <c r="F74">
        <v>13</v>
      </c>
      <c r="G74">
        <v>-2</v>
      </c>
      <c r="H74">
        <v>0.05</v>
      </c>
      <c r="I74" t="str">
        <f>VLOOKUP(C74,Table1[#All],3,FALSE)</f>
        <v>South America</v>
      </c>
      <c r="J74" t="str">
        <f>VLOOKUP(C74,Table1[#All],4,FALSE)</f>
        <v>Consumer</v>
      </c>
      <c r="K74" t="str">
        <f>TEXT(Table13[[#This Row],[Order_Date]],"mmm-yyyy")</f>
        <v>Oct-2023</v>
      </c>
    </row>
    <row r="75" spans="1:11" x14ac:dyDescent="0.3">
      <c r="A75" t="s">
        <v>1424</v>
      </c>
      <c r="B75" s="1">
        <v>45220</v>
      </c>
      <c r="C75" t="s">
        <v>158</v>
      </c>
      <c r="D75" t="s">
        <v>997</v>
      </c>
      <c r="E75">
        <v>2418.6239999999998</v>
      </c>
      <c r="F75">
        <v>13</v>
      </c>
      <c r="G75">
        <v>65</v>
      </c>
      <c r="H75">
        <v>0.05</v>
      </c>
      <c r="I75" t="str">
        <f>VLOOKUP(C75,Table1[#All],3,FALSE)</f>
        <v>South America</v>
      </c>
      <c r="J75" t="str">
        <f>VLOOKUP(C75,Table1[#All],4,FALSE)</f>
        <v>Corporate</v>
      </c>
      <c r="K75" t="str">
        <f>TEXT(Table13[[#This Row],[Order_Date]],"mmm-yyyy")</f>
        <v>Oct-2023</v>
      </c>
    </row>
    <row r="76" spans="1:11" x14ac:dyDescent="0.3">
      <c r="A76" t="s">
        <v>1423</v>
      </c>
      <c r="B76" s="1">
        <v>45305</v>
      </c>
      <c r="C76" t="s">
        <v>160</v>
      </c>
      <c r="D76" t="s">
        <v>995</v>
      </c>
      <c r="E76">
        <v>483.53100000000001</v>
      </c>
      <c r="F76">
        <v>19</v>
      </c>
      <c r="G76">
        <v>97</v>
      </c>
      <c r="H76">
        <v>0.15</v>
      </c>
      <c r="I76" t="str">
        <f>VLOOKUP(C76,Table1[#All],3,FALSE)</f>
        <v>Africa</v>
      </c>
      <c r="J76" t="str">
        <f>VLOOKUP(C76,Table1[#All],4,FALSE)</f>
        <v>Home Office</v>
      </c>
      <c r="K76" t="str">
        <f>TEXT(Table13[[#This Row],[Order_Date]],"mmm-yyyy")</f>
        <v>Jan-2024</v>
      </c>
    </row>
    <row r="77" spans="1:11" x14ac:dyDescent="0.3">
      <c r="A77" t="s">
        <v>1422</v>
      </c>
      <c r="B77" s="1">
        <v>45134</v>
      </c>
      <c r="C77" t="s">
        <v>162</v>
      </c>
      <c r="D77" t="s">
        <v>997</v>
      </c>
      <c r="E77">
        <v>4985.1899999999996</v>
      </c>
      <c r="F77">
        <v>10</v>
      </c>
      <c r="G77">
        <v>264</v>
      </c>
      <c r="H77">
        <v>0.1</v>
      </c>
      <c r="I77" t="str">
        <f>VLOOKUP(C77,Table1[#All],3,FALSE)</f>
        <v>Africa</v>
      </c>
      <c r="J77" t="str">
        <f>VLOOKUP(C77,Table1[#All],4,FALSE)</f>
        <v>Consumer</v>
      </c>
      <c r="K77" t="str">
        <f>TEXT(Table13[[#This Row],[Order_Date]],"mmm-yyyy")</f>
        <v>Jul-2023</v>
      </c>
    </row>
    <row r="78" spans="1:11" x14ac:dyDescent="0.3">
      <c r="A78" t="s">
        <v>1421</v>
      </c>
      <c r="B78" s="1">
        <v>45588</v>
      </c>
      <c r="C78" t="s">
        <v>164</v>
      </c>
      <c r="D78" t="s">
        <v>995</v>
      </c>
      <c r="E78">
        <v>5613.5519999999997</v>
      </c>
      <c r="F78">
        <v>14</v>
      </c>
      <c r="G78">
        <v>-13</v>
      </c>
      <c r="H78">
        <v>0.1</v>
      </c>
      <c r="I78" t="str">
        <f>VLOOKUP(C78,Table1[#All],3,FALSE)</f>
        <v>South America</v>
      </c>
      <c r="J78" t="str">
        <f>VLOOKUP(C78,Table1[#All],4,FALSE)</f>
        <v>Consumer</v>
      </c>
      <c r="K78" t="str">
        <f>TEXT(Table13[[#This Row],[Order_Date]],"mmm-yyyy")</f>
        <v>Oct-2024</v>
      </c>
    </row>
    <row r="79" spans="1:11" x14ac:dyDescent="0.3">
      <c r="A79" t="s">
        <v>1420</v>
      </c>
      <c r="B79" s="1">
        <v>45195</v>
      </c>
      <c r="C79" t="s">
        <v>166</v>
      </c>
      <c r="D79" t="s">
        <v>995</v>
      </c>
      <c r="E79">
        <v>2344.2150000000001</v>
      </c>
      <c r="F79">
        <v>5</v>
      </c>
      <c r="G79">
        <v>73</v>
      </c>
      <c r="H79">
        <v>0.15</v>
      </c>
      <c r="I79" t="str">
        <f>VLOOKUP(C79,Table1[#All],3,FALSE)</f>
        <v>South America</v>
      </c>
      <c r="J79" t="str">
        <f>VLOOKUP(C79,Table1[#All],4,FALSE)</f>
        <v>Home Office</v>
      </c>
      <c r="K79" t="str">
        <f>TEXT(Table13[[#This Row],[Order_Date]],"mmm-yyyy")</f>
        <v>Sep-2023</v>
      </c>
    </row>
    <row r="80" spans="1:11" x14ac:dyDescent="0.3">
      <c r="A80" t="s">
        <v>1419</v>
      </c>
      <c r="B80" s="1">
        <v>45276</v>
      </c>
      <c r="C80" t="s">
        <v>168</v>
      </c>
      <c r="D80" t="s">
        <v>997</v>
      </c>
      <c r="E80">
        <v>3138.2</v>
      </c>
      <c r="F80">
        <v>13</v>
      </c>
      <c r="G80">
        <v>-68</v>
      </c>
      <c r="H80">
        <v>0</v>
      </c>
      <c r="I80" t="str">
        <f>VLOOKUP(C80,Table1[#All],3,FALSE)</f>
        <v>Asia</v>
      </c>
      <c r="J80" t="str">
        <f>VLOOKUP(C80,Table1[#All],4,FALSE)</f>
        <v>Home Office</v>
      </c>
      <c r="K80" t="str">
        <f>TEXT(Table13[[#This Row],[Order_Date]],"mmm-yyyy")</f>
        <v>Dec-2023</v>
      </c>
    </row>
    <row r="81" spans="1:11" x14ac:dyDescent="0.3">
      <c r="A81" t="s">
        <v>1418</v>
      </c>
      <c r="B81" s="1">
        <v>45323</v>
      </c>
      <c r="C81" t="s">
        <v>170</v>
      </c>
      <c r="D81" t="s">
        <v>995</v>
      </c>
      <c r="E81">
        <v>6686.67</v>
      </c>
      <c r="F81">
        <v>19</v>
      </c>
      <c r="G81">
        <v>-2</v>
      </c>
      <c r="H81">
        <v>0</v>
      </c>
      <c r="I81" t="str">
        <f>VLOOKUP(C81,Table1[#All],3,FALSE)</f>
        <v>Africa</v>
      </c>
      <c r="J81" t="str">
        <f>VLOOKUP(C81,Table1[#All],4,FALSE)</f>
        <v>Home Office</v>
      </c>
      <c r="K81" t="str">
        <f>TEXT(Table13[[#This Row],[Order_Date]],"mmm-yyyy")</f>
        <v>Feb-2024</v>
      </c>
    </row>
    <row r="82" spans="1:11" x14ac:dyDescent="0.3">
      <c r="A82" t="s">
        <v>1417</v>
      </c>
      <c r="B82" s="1">
        <v>45338</v>
      </c>
      <c r="C82" t="s">
        <v>172</v>
      </c>
      <c r="D82" t="s">
        <v>995</v>
      </c>
      <c r="E82">
        <v>318.25</v>
      </c>
      <c r="F82">
        <v>4</v>
      </c>
      <c r="G82">
        <v>-2</v>
      </c>
      <c r="H82">
        <v>0.05</v>
      </c>
      <c r="I82" t="str">
        <f>VLOOKUP(C82,Table1[#All],3,FALSE)</f>
        <v>North America</v>
      </c>
      <c r="J82" t="str">
        <f>VLOOKUP(C82,Table1[#All],4,FALSE)</f>
        <v>Home Office</v>
      </c>
      <c r="K82" t="str">
        <f>TEXT(Table13[[#This Row],[Order_Date]],"mmm-yyyy")</f>
        <v>Feb-2024</v>
      </c>
    </row>
    <row r="83" spans="1:11" x14ac:dyDescent="0.3">
      <c r="A83" t="s">
        <v>1416</v>
      </c>
      <c r="B83" s="1">
        <v>45356</v>
      </c>
      <c r="C83" t="s">
        <v>174</v>
      </c>
      <c r="D83" t="s">
        <v>997</v>
      </c>
      <c r="E83">
        <v>1772.0374999999999</v>
      </c>
      <c r="F83">
        <v>5</v>
      </c>
      <c r="G83">
        <v>-916</v>
      </c>
      <c r="H83">
        <v>0.15</v>
      </c>
      <c r="I83" t="str">
        <f>VLOOKUP(C83,Table1[#All],3,FALSE)</f>
        <v>Asia</v>
      </c>
      <c r="J83" t="str">
        <f>VLOOKUP(C83,Table1[#All],4,FALSE)</f>
        <v>Consumer</v>
      </c>
      <c r="K83" t="str">
        <f>TEXT(Table13[[#This Row],[Order_Date]],"mmm-yyyy")</f>
        <v>Mar-2024</v>
      </c>
    </row>
    <row r="84" spans="1:11" x14ac:dyDescent="0.3">
      <c r="A84" t="s">
        <v>1415</v>
      </c>
      <c r="B84" s="1">
        <v>45073</v>
      </c>
      <c r="C84" t="s">
        <v>176</v>
      </c>
      <c r="D84" t="s">
        <v>995</v>
      </c>
      <c r="E84">
        <v>2435.5529999999999</v>
      </c>
      <c r="F84">
        <v>18</v>
      </c>
      <c r="G84">
        <v>-93</v>
      </c>
      <c r="H84">
        <v>0.05</v>
      </c>
      <c r="I84" t="str">
        <f>VLOOKUP(C84,Table1[#All],3,FALSE)</f>
        <v>Europe</v>
      </c>
      <c r="J84" t="str">
        <f>VLOOKUP(C84,Table1[#All],4,FALSE)</f>
        <v>Home Office</v>
      </c>
      <c r="K84" t="str">
        <f>TEXT(Table13[[#This Row],[Order_Date]],"mmm-yyyy")</f>
        <v>May-2023</v>
      </c>
    </row>
    <row r="85" spans="1:11" x14ac:dyDescent="0.3">
      <c r="A85" t="s">
        <v>1414</v>
      </c>
      <c r="B85" s="1">
        <v>45047</v>
      </c>
      <c r="C85" t="s">
        <v>178</v>
      </c>
      <c r="D85" t="s">
        <v>995</v>
      </c>
      <c r="E85">
        <v>6990.24</v>
      </c>
      <c r="F85">
        <v>12</v>
      </c>
      <c r="G85">
        <v>3</v>
      </c>
      <c r="H85">
        <v>0</v>
      </c>
      <c r="I85" t="str">
        <f>VLOOKUP(C85,Table1[#All],3,FALSE)</f>
        <v>Asia</v>
      </c>
      <c r="J85" t="str">
        <f>VLOOKUP(C85,Table1[#All],4,FALSE)</f>
        <v>Corporate</v>
      </c>
      <c r="K85" t="str">
        <f>TEXT(Table13[[#This Row],[Order_Date]],"mmm-yyyy")</f>
        <v>May-2023</v>
      </c>
    </row>
    <row r="86" spans="1:11" x14ac:dyDescent="0.3">
      <c r="A86" t="s">
        <v>1413</v>
      </c>
      <c r="B86" s="1">
        <v>45798</v>
      </c>
      <c r="C86" t="s">
        <v>180</v>
      </c>
      <c r="D86" t="s">
        <v>997</v>
      </c>
      <c r="E86">
        <v>2202.52</v>
      </c>
      <c r="F86">
        <v>20</v>
      </c>
      <c r="G86">
        <v>192</v>
      </c>
      <c r="H86">
        <v>0.15</v>
      </c>
      <c r="I86" t="str">
        <f>VLOOKUP(C86,Table1[#All],3,FALSE)</f>
        <v>Asia</v>
      </c>
      <c r="J86" t="str">
        <f>VLOOKUP(C86,Table1[#All],4,FALSE)</f>
        <v>Home Office</v>
      </c>
      <c r="K86" t="str">
        <f>TEXT(Table13[[#This Row],[Order_Date]],"mmm-yyyy")</f>
        <v>May-2025</v>
      </c>
    </row>
    <row r="87" spans="1:11" x14ac:dyDescent="0.3">
      <c r="A87" t="s">
        <v>1412</v>
      </c>
      <c r="B87" s="1">
        <v>45128</v>
      </c>
      <c r="C87" t="s">
        <v>182</v>
      </c>
      <c r="D87" t="s">
        <v>995</v>
      </c>
      <c r="E87">
        <v>7340.94</v>
      </c>
      <c r="F87">
        <v>17</v>
      </c>
      <c r="G87">
        <v>-72</v>
      </c>
      <c r="H87">
        <v>0</v>
      </c>
      <c r="I87" t="str">
        <f>VLOOKUP(C87,Table1[#All],3,FALSE)</f>
        <v>Africa</v>
      </c>
      <c r="J87" t="str">
        <f>VLOOKUP(C87,Table1[#All],4,FALSE)</f>
        <v>Home Office</v>
      </c>
      <c r="K87" t="str">
        <f>TEXT(Table13[[#This Row],[Order_Date]],"mmm-yyyy")</f>
        <v>Jul-2023</v>
      </c>
    </row>
    <row r="88" spans="1:11" x14ac:dyDescent="0.3">
      <c r="A88" t="s">
        <v>1411</v>
      </c>
      <c r="B88" s="1">
        <v>45802</v>
      </c>
      <c r="C88" t="s">
        <v>184</v>
      </c>
      <c r="D88" t="s">
        <v>1000</v>
      </c>
      <c r="E88">
        <v>237.75</v>
      </c>
      <c r="F88">
        <v>15</v>
      </c>
      <c r="G88">
        <v>67</v>
      </c>
      <c r="H88">
        <v>0</v>
      </c>
      <c r="I88" t="str">
        <f>VLOOKUP(C88,Table1[#All],3,FALSE)</f>
        <v>Asia</v>
      </c>
      <c r="J88" t="str">
        <f>VLOOKUP(C88,Table1[#All],4,FALSE)</f>
        <v>Corporate</v>
      </c>
      <c r="K88" t="str">
        <f>TEXT(Table13[[#This Row],[Order_Date]],"mmm-yyyy")</f>
        <v>May-2025</v>
      </c>
    </row>
    <row r="89" spans="1:11" x14ac:dyDescent="0.3">
      <c r="A89" t="s">
        <v>1410</v>
      </c>
      <c r="B89" s="1">
        <v>45612</v>
      </c>
      <c r="C89" t="s">
        <v>186</v>
      </c>
      <c r="D89" t="s">
        <v>995</v>
      </c>
      <c r="E89">
        <v>9870.1200000000008</v>
      </c>
      <c r="F89">
        <v>20</v>
      </c>
      <c r="G89">
        <v>24</v>
      </c>
      <c r="H89">
        <v>0.1</v>
      </c>
      <c r="I89" t="str">
        <f>VLOOKUP(C89,Table1[#All],3,FALSE)</f>
        <v>South America</v>
      </c>
      <c r="J89" t="str">
        <f>VLOOKUP(C89,Table1[#All],4,FALSE)</f>
        <v>Corporate</v>
      </c>
      <c r="K89" t="str">
        <f>TEXT(Table13[[#This Row],[Order_Date]],"mmm-yyyy")</f>
        <v>Nov-2024</v>
      </c>
    </row>
    <row r="90" spans="1:11" x14ac:dyDescent="0.3">
      <c r="A90" t="s">
        <v>1409</v>
      </c>
      <c r="B90" s="1">
        <v>45249</v>
      </c>
      <c r="C90" t="s">
        <v>188</v>
      </c>
      <c r="D90" t="s">
        <v>995</v>
      </c>
      <c r="E90">
        <v>7992.616</v>
      </c>
      <c r="F90">
        <v>16</v>
      </c>
      <c r="G90">
        <v>16</v>
      </c>
      <c r="H90">
        <v>0.05</v>
      </c>
      <c r="I90" t="str">
        <f>VLOOKUP(C90,Table1[#All],3,FALSE)</f>
        <v>North America</v>
      </c>
      <c r="J90" t="str">
        <f>VLOOKUP(C90,Table1[#All],4,FALSE)</f>
        <v>Corporate</v>
      </c>
      <c r="K90" t="str">
        <f>TEXT(Table13[[#This Row],[Order_Date]],"mmm-yyyy")</f>
        <v>Nov-2023</v>
      </c>
    </row>
    <row r="91" spans="1:11" x14ac:dyDescent="0.3">
      <c r="A91" t="s">
        <v>1408</v>
      </c>
      <c r="B91" s="1">
        <v>45992</v>
      </c>
      <c r="C91" t="s">
        <v>190</v>
      </c>
      <c r="D91" t="s">
        <v>1000</v>
      </c>
      <c r="E91">
        <v>5862.165</v>
      </c>
      <c r="F91">
        <v>15</v>
      </c>
      <c r="G91">
        <v>-274</v>
      </c>
      <c r="H91">
        <v>0.05</v>
      </c>
      <c r="I91" t="str">
        <f>VLOOKUP(C91,Table1[#All],3,FALSE)</f>
        <v>Africa</v>
      </c>
      <c r="J91" t="str">
        <f>VLOOKUP(C91,Table1[#All],4,FALSE)</f>
        <v>Consumer</v>
      </c>
      <c r="K91" t="str">
        <f>TEXT(Table13[[#This Row],[Order_Date]],"mmm-yyyy")</f>
        <v>Dec-2025</v>
      </c>
    </row>
    <row r="92" spans="1:11" x14ac:dyDescent="0.3">
      <c r="A92" t="s">
        <v>1407</v>
      </c>
      <c r="B92" s="1">
        <v>45014</v>
      </c>
      <c r="C92" t="s">
        <v>192</v>
      </c>
      <c r="D92" t="s">
        <v>1000</v>
      </c>
      <c r="E92">
        <v>9575.1450000000004</v>
      </c>
      <c r="F92">
        <v>19</v>
      </c>
      <c r="G92">
        <v>230</v>
      </c>
      <c r="H92">
        <v>0.1</v>
      </c>
      <c r="I92" t="str">
        <f>VLOOKUP(C92,Table1[#All],3,FALSE)</f>
        <v>North America</v>
      </c>
      <c r="J92" t="str">
        <f>VLOOKUP(C92,Table1[#All],4,FALSE)</f>
        <v>Corporate</v>
      </c>
      <c r="K92" t="str">
        <f>TEXT(Table13[[#This Row],[Order_Date]],"mmm-yyyy")</f>
        <v>Mar-2023</v>
      </c>
    </row>
    <row r="93" spans="1:11" x14ac:dyDescent="0.3">
      <c r="A93" t="s">
        <v>1406</v>
      </c>
      <c r="B93" s="1">
        <v>45660</v>
      </c>
      <c r="C93" t="s">
        <v>194</v>
      </c>
      <c r="D93" t="s">
        <v>997</v>
      </c>
      <c r="E93">
        <v>1367.24</v>
      </c>
      <c r="F93">
        <v>8</v>
      </c>
      <c r="G93">
        <v>-640</v>
      </c>
      <c r="H93">
        <v>0.05</v>
      </c>
      <c r="I93" t="str">
        <f>VLOOKUP(C93,Table1[#All],3,FALSE)</f>
        <v>North America</v>
      </c>
      <c r="J93" t="str">
        <f>VLOOKUP(C93,Table1[#All],4,FALSE)</f>
        <v>Consumer</v>
      </c>
      <c r="K93" t="str">
        <f>TEXT(Table13[[#This Row],[Order_Date]],"mmm-yyyy")</f>
        <v>Jan-2025</v>
      </c>
    </row>
    <row r="94" spans="1:11" x14ac:dyDescent="0.3">
      <c r="A94" t="s">
        <v>1405</v>
      </c>
      <c r="B94" s="1">
        <v>45217</v>
      </c>
      <c r="C94" t="s">
        <v>196</v>
      </c>
      <c r="D94" t="s">
        <v>995</v>
      </c>
      <c r="E94">
        <v>5040.33</v>
      </c>
      <c r="F94">
        <v>12</v>
      </c>
      <c r="G94">
        <v>486</v>
      </c>
      <c r="H94">
        <v>0.15</v>
      </c>
      <c r="I94" t="str">
        <f>VLOOKUP(C94,Table1[#All],3,FALSE)</f>
        <v>North America</v>
      </c>
      <c r="J94" t="str">
        <f>VLOOKUP(C94,Table1[#All],4,FALSE)</f>
        <v>Corporate</v>
      </c>
      <c r="K94" t="str">
        <f>TEXT(Table13[[#This Row],[Order_Date]],"mmm-yyyy")</f>
        <v>Oct-2023</v>
      </c>
    </row>
    <row r="95" spans="1:11" x14ac:dyDescent="0.3">
      <c r="A95" t="s">
        <v>1404</v>
      </c>
      <c r="B95" s="1">
        <v>45760</v>
      </c>
      <c r="C95" t="s">
        <v>198</v>
      </c>
      <c r="D95" t="s">
        <v>1000</v>
      </c>
      <c r="E95">
        <v>4629.8999999999996</v>
      </c>
      <c r="F95">
        <v>10</v>
      </c>
      <c r="G95">
        <v>-18</v>
      </c>
      <c r="H95">
        <v>0</v>
      </c>
      <c r="I95" t="str">
        <f>VLOOKUP(C95,Table1[#All],3,FALSE)</f>
        <v>Asia</v>
      </c>
      <c r="J95" t="str">
        <f>VLOOKUP(C95,Table1[#All],4,FALSE)</f>
        <v>Home Office</v>
      </c>
      <c r="K95" t="str">
        <f>TEXT(Table13[[#This Row],[Order_Date]],"mmm-yyyy")</f>
        <v>Apr-2025</v>
      </c>
    </row>
    <row r="96" spans="1:11" x14ac:dyDescent="0.3">
      <c r="A96" t="s">
        <v>1403</v>
      </c>
      <c r="B96" s="1">
        <v>45790</v>
      </c>
      <c r="C96" t="s">
        <v>200</v>
      </c>
      <c r="D96" t="s">
        <v>1000</v>
      </c>
      <c r="E96">
        <v>3060.596</v>
      </c>
      <c r="F96">
        <v>7</v>
      </c>
      <c r="G96">
        <v>-13</v>
      </c>
      <c r="H96">
        <v>0.05</v>
      </c>
      <c r="I96" t="str">
        <f>VLOOKUP(C96,Table1[#All],3,FALSE)</f>
        <v>Africa</v>
      </c>
      <c r="J96" t="str">
        <f>VLOOKUP(C96,Table1[#All],4,FALSE)</f>
        <v>Corporate</v>
      </c>
      <c r="K96" t="str">
        <f>TEXT(Table13[[#This Row],[Order_Date]],"mmm-yyyy")</f>
        <v>May-2025</v>
      </c>
    </row>
    <row r="97" spans="1:11" x14ac:dyDescent="0.3">
      <c r="A97" t="s">
        <v>1402</v>
      </c>
      <c r="B97" s="1">
        <v>45403</v>
      </c>
      <c r="C97" t="s">
        <v>202</v>
      </c>
      <c r="D97" t="s">
        <v>997</v>
      </c>
      <c r="E97">
        <v>4998.7479999999996</v>
      </c>
      <c r="F97">
        <v>17</v>
      </c>
      <c r="G97">
        <v>-63</v>
      </c>
      <c r="H97">
        <v>0.05</v>
      </c>
      <c r="I97" t="str">
        <f>VLOOKUP(C97,Table1[#All],3,FALSE)</f>
        <v>Europe</v>
      </c>
      <c r="J97" t="str">
        <f>VLOOKUP(C97,Table1[#All],4,FALSE)</f>
        <v>Corporate</v>
      </c>
      <c r="K97" t="str">
        <f>TEXT(Table13[[#This Row],[Order_Date]],"mmm-yyyy")</f>
        <v>Apr-2024</v>
      </c>
    </row>
    <row r="98" spans="1:11" x14ac:dyDescent="0.3">
      <c r="A98" t="s">
        <v>1401</v>
      </c>
      <c r="B98" s="1">
        <v>45688</v>
      </c>
      <c r="C98" t="s">
        <v>204</v>
      </c>
      <c r="D98" t="s">
        <v>997</v>
      </c>
      <c r="E98">
        <v>307.63850000000002</v>
      </c>
      <c r="F98">
        <v>1</v>
      </c>
      <c r="G98">
        <v>-706</v>
      </c>
      <c r="H98">
        <v>0.05</v>
      </c>
      <c r="I98" t="str">
        <f>VLOOKUP(C98,Table1[#All],3,FALSE)</f>
        <v>Africa</v>
      </c>
      <c r="J98" t="str">
        <f>VLOOKUP(C98,Table1[#All],4,FALSE)</f>
        <v>Consumer</v>
      </c>
      <c r="K98" t="str">
        <f>TEXT(Table13[[#This Row],[Order_Date]],"mmm-yyyy")</f>
        <v>Jan-2025</v>
      </c>
    </row>
    <row r="99" spans="1:11" x14ac:dyDescent="0.3">
      <c r="A99" t="s">
        <v>1400</v>
      </c>
      <c r="B99" s="1">
        <v>45730</v>
      </c>
      <c r="C99" t="s">
        <v>206</v>
      </c>
      <c r="D99" t="s">
        <v>997</v>
      </c>
      <c r="E99">
        <v>5030.7</v>
      </c>
      <c r="F99">
        <v>10</v>
      </c>
      <c r="G99">
        <v>170</v>
      </c>
      <c r="H99">
        <v>0</v>
      </c>
      <c r="I99" t="str">
        <f>VLOOKUP(C99,Table1[#All],3,FALSE)</f>
        <v>Africa</v>
      </c>
      <c r="J99" t="str">
        <f>VLOOKUP(C99,Table1[#All],4,FALSE)</f>
        <v>Consumer</v>
      </c>
      <c r="K99" t="str">
        <f>TEXT(Table13[[#This Row],[Order_Date]],"mmm-yyyy")</f>
        <v>Mar-2025</v>
      </c>
    </row>
    <row r="100" spans="1:11" x14ac:dyDescent="0.3">
      <c r="A100" t="s">
        <v>1399</v>
      </c>
      <c r="B100" s="1">
        <v>45438</v>
      </c>
      <c r="C100" t="s">
        <v>208</v>
      </c>
      <c r="D100" t="s">
        <v>995</v>
      </c>
      <c r="E100">
        <v>8358.56</v>
      </c>
      <c r="F100">
        <v>20</v>
      </c>
      <c r="G100">
        <v>-1</v>
      </c>
      <c r="H100">
        <v>0.15</v>
      </c>
      <c r="I100" t="str">
        <f>VLOOKUP(C100,Table1[#All],3,FALSE)</f>
        <v>Europe</v>
      </c>
      <c r="J100" t="str">
        <f>VLOOKUP(C100,Table1[#All],4,FALSE)</f>
        <v>Home Office</v>
      </c>
      <c r="K100" t="str">
        <f>TEXT(Table13[[#This Row],[Order_Date]],"mmm-yyyy")</f>
        <v>May-2024</v>
      </c>
    </row>
    <row r="101" spans="1:11" x14ac:dyDescent="0.3">
      <c r="A101" t="s">
        <v>1398</v>
      </c>
      <c r="B101" s="1">
        <v>45129</v>
      </c>
      <c r="C101" t="s">
        <v>210</v>
      </c>
      <c r="D101" t="s">
        <v>997</v>
      </c>
      <c r="E101">
        <v>7565.4674999999997</v>
      </c>
      <c r="F101">
        <v>17</v>
      </c>
      <c r="G101">
        <v>170</v>
      </c>
      <c r="H101">
        <v>0.05</v>
      </c>
      <c r="I101" t="str">
        <f>VLOOKUP(C101,Table1[#All],3,FALSE)</f>
        <v>North America</v>
      </c>
      <c r="J101" t="str">
        <f>VLOOKUP(C101,Table1[#All],4,FALSE)</f>
        <v>Corporate</v>
      </c>
      <c r="K101" t="str">
        <f>TEXT(Table13[[#This Row],[Order_Date]],"mmm-yyyy")</f>
        <v>Jul-2023</v>
      </c>
    </row>
    <row r="102" spans="1:11" x14ac:dyDescent="0.3">
      <c r="A102" t="s">
        <v>1397</v>
      </c>
      <c r="B102" s="1">
        <v>45372</v>
      </c>
      <c r="C102" t="s">
        <v>212</v>
      </c>
      <c r="D102" t="s">
        <v>995</v>
      </c>
      <c r="E102">
        <v>3756.4560000000001</v>
      </c>
      <c r="F102">
        <v>11</v>
      </c>
      <c r="G102">
        <v>-1</v>
      </c>
      <c r="H102">
        <v>0.15</v>
      </c>
      <c r="I102" t="str">
        <f>VLOOKUP(C102,Table1[#All],3,FALSE)</f>
        <v>North America</v>
      </c>
      <c r="J102" t="str">
        <f>VLOOKUP(C102,Table1[#All],4,FALSE)</f>
        <v>Home Office</v>
      </c>
      <c r="K102" t="str">
        <f>TEXT(Table13[[#This Row],[Order_Date]],"mmm-yyyy")</f>
        <v>Mar-2024</v>
      </c>
    </row>
    <row r="103" spans="1:11" x14ac:dyDescent="0.3">
      <c r="A103" t="s">
        <v>1396</v>
      </c>
      <c r="B103" s="1">
        <v>45050</v>
      </c>
      <c r="C103" t="s">
        <v>214</v>
      </c>
      <c r="D103" t="s">
        <v>997</v>
      </c>
      <c r="E103">
        <v>663</v>
      </c>
      <c r="F103">
        <v>3</v>
      </c>
      <c r="G103">
        <v>-36</v>
      </c>
      <c r="H103">
        <v>0</v>
      </c>
      <c r="I103" t="str">
        <f>VLOOKUP(C103,Table1[#All],3,FALSE)</f>
        <v>Europe</v>
      </c>
      <c r="J103" t="str">
        <f>VLOOKUP(C103,Table1[#All],4,FALSE)</f>
        <v>Consumer</v>
      </c>
      <c r="K103" t="str">
        <f>TEXT(Table13[[#This Row],[Order_Date]],"mmm-yyyy")</f>
        <v>May-2023</v>
      </c>
    </row>
    <row r="104" spans="1:11" x14ac:dyDescent="0.3">
      <c r="A104" t="s">
        <v>1395</v>
      </c>
      <c r="B104" s="1">
        <v>45530</v>
      </c>
      <c r="C104" t="s">
        <v>216</v>
      </c>
      <c r="D104" t="s">
        <v>997</v>
      </c>
      <c r="E104">
        <v>1074.165</v>
      </c>
      <c r="F104">
        <v>6</v>
      </c>
      <c r="G104">
        <v>101</v>
      </c>
      <c r="H104">
        <v>0.05</v>
      </c>
      <c r="I104" t="str">
        <f>VLOOKUP(C104,Table1[#All],3,FALSE)</f>
        <v>Asia</v>
      </c>
      <c r="J104" t="str">
        <f>VLOOKUP(C104,Table1[#All],4,FALSE)</f>
        <v>Consumer</v>
      </c>
      <c r="K104" t="str">
        <f>TEXT(Table13[[#This Row],[Order_Date]],"mmm-yyyy")</f>
        <v>Aug-2024</v>
      </c>
    </row>
    <row r="105" spans="1:11" x14ac:dyDescent="0.3">
      <c r="A105" t="s">
        <v>1394</v>
      </c>
      <c r="B105" s="1">
        <v>45480</v>
      </c>
      <c r="C105" t="s">
        <v>218</v>
      </c>
      <c r="D105" t="s">
        <v>997</v>
      </c>
      <c r="E105">
        <v>1698.6</v>
      </c>
      <c r="F105">
        <v>3</v>
      </c>
      <c r="G105">
        <v>266</v>
      </c>
      <c r="H105">
        <v>0</v>
      </c>
      <c r="I105" t="str">
        <f>VLOOKUP(C105,Table1[#All],3,FALSE)</f>
        <v>North America</v>
      </c>
      <c r="J105" t="str">
        <f>VLOOKUP(C105,Table1[#All],4,FALSE)</f>
        <v>Home Office</v>
      </c>
      <c r="K105" t="str">
        <f>TEXT(Table13[[#This Row],[Order_Date]],"mmm-yyyy")</f>
        <v>Jul-2024</v>
      </c>
    </row>
    <row r="106" spans="1:11" x14ac:dyDescent="0.3">
      <c r="A106" t="s">
        <v>1393</v>
      </c>
      <c r="B106" s="1">
        <v>45198</v>
      </c>
      <c r="C106" t="s">
        <v>220</v>
      </c>
      <c r="D106" t="s">
        <v>995</v>
      </c>
      <c r="E106">
        <v>2222.297</v>
      </c>
      <c r="F106">
        <v>14</v>
      </c>
      <c r="G106">
        <v>-48</v>
      </c>
      <c r="H106">
        <v>0.05</v>
      </c>
      <c r="I106" t="str">
        <f>VLOOKUP(C106,Table1[#All],3,FALSE)</f>
        <v>Asia</v>
      </c>
      <c r="J106" t="str">
        <f>VLOOKUP(C106,Table1[#All],4,FALSE)</f>
        <v>Consumer</v>
      </c>
      <c r="K106" t="str">
        <f>TEXT(Table13[[#This Row],[Order_Date]],"mmm-yyyy")</f>
        <v>Sep-2023</v>
      </c>
    </row>
    <row r="107" spans="1:11" x14ac:dyDescent="0.3">
      <c r="A107" t="s">
        <v>1392</v>
      </c>
      <c r="B107" s="1">
        <v>45026</v>
      </c>
      <c r="C107" t="s">
        <v>222</v>
      </c>
      <c r="D107" t="s">
        <v>997</v>
      </c>
      <c r="E107">
        <v>520.70399999999995</v>
      </c>
      <c r="F107">
        <v>16</v>
      </c>
      <c r="G107">
        <v>-14</v>
      </c>
      <c r="H107">
        <v>0.1</v>
      </c>
      <c r="I107" t="str">
        <f>VLOOKUP(C107,Table1[#All],3,FALSE)</f>
        <v>Europe</v>
      </c>
      <c r="J107" t="str">
        <f>VLOOKUP(C107,Table1[#All],4,FALSE)</f>
        <v>Consumer</v>
      </c>
      <c r="K107" t="str">
        <f>TEXT(Table13[[#This Row],[Order_Date]],"mmm-yyyy")</f>
        <v>Apr-2023</v>
      </c>
    </row>
    <row r="108" spans="1:11" x14ac:dyDescent="0.3">
      <c r="A108" t="s">
        <v>1391</v>
      </c>
      <c r="B108" s="1">
        <v>45906</v>
      </c>
      <c r="C108" t="s">
        <v>224</v>
      </c>
      <c r="D108" t="s">
        <v>995</v>
      </c>
      <c r="E108">
        <v>140.48599999999999</v>
      </c>
      <c r="F108">
        <v>2</v>
      </c>
      <c r="G108">
        <v>8</v>
      </c>
      <c r="H108">
        <v>0.05</v>
      </c>
      <c r="I108" t="str">
        <f>VLOOKUP(C108,Table1[#All],3,FALSE)</f>
        <v>Africa</v>
      </c>
      <c r="J108" t="str">
        <f>VLOOKUP(C108,Table1[#All],4,FALSE)</f>
        <v>Consumer</v>
      </c>
      <c r="K108" t="str">
        <f>TEXT(Table13[[#This Row],[Order_Date]],"mmm-yyyy")</f>
        <v>Sep-2025</v>
      </c>
    </row>
    <row r="109" spans="1:11" x14ac:dyDescent="0.3">
      <c r="A109" t="s">
        <v>1390</v>
      </c>
      <c r="B109" s="1">
        <v>45997</v>
      </c>
      <c r="C109" t="s">
        <v>226</v>
      </c>
      <c r="D109" t="s">
        <v>1000</v>
      </c>
      <c r="E109">
        <v>6616.6559999999999</v>
      </c>
      <c r="F109">
        <v>16</v>
      </c>
      <c r="G109">
        <v>-307</v>
      </c>
      <c r="H109">
        <v>0.1</v>
      </c>
      <c r="I109" t="str">
        <f>VLOOKUP(C109,Table1[#All],3,FALSE)</f>
        <v>Asia</v>
      </c>
      <c r="J109" t="str">
        <f>VLOOKUP(C109,Table1[#All],4,FALSE)</f>
        <v>Corporate</v>
      </c>
      <c r="K109" t="str">
        <f>TEXT(Table13[[#This Row],[Order_Date]],"mmm-yyyy")</f>
        <v>Dec-2025</v>
      </c>
    </row>
    <row r="110" spans="1:11" x14ac:dyDescent="0.3">
      <c r="A110" t="s">
        <v>1389</v>
      </c>
      <c r="B110" s="1">
        <v>45472</v>
      </c>
      <c r="C110" t="s">
        <v>228</v>
      </c>
      <c r="D110" t="s">
        <v>995</v>
      </c>
      <c r="E110">
        <v>504.15</v>
      </c>
      <c r="F110">
        <v>3</v>
      </c>
      <c r="G110">
        <v>199</v>
      </c>
      <c r="H110">
        <v>0</v>
      </c>
      <c r="I110" t="str">
        <f>VLOOKUP(C110,Table1[#All],3,FALSE)</f>
        <v>Asia</v>
      </c>
      <c r="J110" t="str">
        <f>VLOOKUP(C110,Table1[#All],4,FALSE)</f>
        <v>Consumer</v>
      </c>
      <c r="K110" t="str">
        <f>TEXT(Table13[[#This Row],[Order_Date]],"mmm-yyyy")</f>
        <v>Jun-2024</v>
      </c>
    </row>
    <row r="111" spans="1:11" x14ac:dyDescent="0.3">
      <c r="A111" t="s">
        <v>1388</v>
      </c>
      <c r="B111" s="1">
        <v>45374</v>
      </c>
      <c r="C111" t="s">
        <v>230</v>
      </c>
      <c r="D111" t="s">
        <v>997</v>
      </c>
      <c r="E111">
        <v>446.726</v>
      </c>
      <c r="F111">
        <v>14</v>
      </c>
      <c r="G111">
        <v>119</v>
      </c>
      <c r="H111">
        <v>0.15</v>
      </c>
      <c r="I111" t="str">
        <f>VLOOKUP(C111,Table1[#All],3,FALSE)</f>
        <v>North America</v>
      </c>
      <c r="J111" t="str">
        <f>VLOOKUP(C111,Table1[#All],4,FALSE)</f>
        <v>Corporate</v>
      </c>
      <c r="K111" t="str">
        <f>TEXT(Table13[[#This Row],[Order_Date]],"mmm-yyyy")</f>
        <v>Mar-2024</v>
      </c>
    </row>
    <row r="112" spans="1:11" x14ac:dyDescent="0.3">
      <c r="A112" t="s">
        <v>1387</v>
      </c>
      <c r="B112" s="1">
        <v>45487</v>
      </c>
      <c r="C112" t="s">
        <v>232</v>
      </c>
      <c r="D112" t="s">
        <v>995</v>
      </c>
      <c r="E112">
        <v>604.64</v>
      </c>
      <c r="F112">
        <v>4</v>
      </c>
      <c r="G112">
        <v>0</v>
      </c>
      <c r="H112">
        <v>0</v>
      </c>
      <c r="I112" t="str">
        <f>VLOOKUP(C112,Table1[#All],3,FALSE)</f>
        <v>South America</v>
      </c>
      <c r="J112" t="str">
        <f>VLOOKUP(C112,Table1[#All],4,FALSE)</f>
        <v>Home Office</v>
      </c>
      <c r="K112" t="str">
        <f>TEXT(Table13[[#This Row],[Order_Date]],"mmm-yyyy")</f>
        <v>Jul-2024</v>
      </c>
    </row>
    <row r="113" spans="1:11" x14ac:dyDescent="0.3">
      <c r="A113" t="s">
        <v>1386</v>
      </c>
      <c r="B113" s="1">
        <v>45366</v>
      </c>
      <c r="C113" t="s">
        <v>234</v>
      </c>
      <c r="D113" t="s">
        <v>995</v>
      </c>
      <c r="E113">
        <v>1202.2739999999999</v>
      </c>
      <c r="F113">
        <v>17</v>
      </c>
      <c r="G113">
        <v>8</v>
      </c>
      <c r="H113">
        <v>0.1</v>
      </c>
      <c r="I113" t="str">
        <f>VLOOKUP(C113,Table1[#All],3,FALSE)</f>
        <v>South America</v>
      </c>
      <c r="J113" t="str">
        <f>VLOOKUP(C113,Table1[#All],4,FALSE)</f>
        <v>Consumer</v>
      </c>
      <c r="K113" t="str">
        <f>TEXT(Table13[[#This Row],[Order_Date]],"mmm-yyyy")</f>
        <v>Mar-2024</v>
      </c>
    </row>
    <row r="114" spans="1:11" x14ac:dyDescent="0.3">
      <c r="A114" t="s">
        <v>1385</v>
      </c>
      <c r="B114" s="1">
        <v>45766</v>
      </c>
      <c r="C114" t="s">
        <v>236</v>
      </c>
      <c r="D114" t="s">
        <v>995</v>
      </c>
      <c r="E114">
        <v>531.95249999999999</v>
      </c>
      <c r="F114">
        <v>15</v>
      </c>
      <c r="G114">
        <v>-225</v>
      </c>
      <c r="H114">
        <v>0.05</v>
      </c>
      <c r="I114" t="str">
        <f>VLOOKUP(C114,Table1[#All],3,FALSE)</f>
        <v>Africa</v>
      </c>
      <c r="J114" t="str">
        <f>VLOOKUP(C114,Table1[#All],4,FALSE)</f>
        <v>Consumer</v>
      </c>
      <c r="K114" t="str">
        <f>TEXT(Table13[[#This Row],[Order_Date]],"mmm-yyyy")</f>
        <v>Apr-2025</v>
      </c>
    </row>
    <row r="115" spans="1:11" x14ac:dyDescent="0.3">
      <c r="A115" t="s">
        <v>1384</v>
      </c>
      <c r="B115" s="1">
        <v>45337</v>
      </c>
      <c r="C115" t="s">
        <v>238</v>
      </c>
      <c r="D115" t="s">
        <v>1000</v>
      </c>
      <c r="E115">
        <v>8216.4060000000009</v>
      </c>
      <c r="F115">
        <v>18</v>
      </c>
      <c r="G115">
        <v>198</v>
      </c>
      <c r="H115">
        <v>0.15</v>
      </c>
      <c r="I115" t="str">
        <f>VLOOKUP(C115,Table1[#All],3,FALSE)</f>
        <v>Europe</v>
      </c>
      <c r="J115" t="str">
        <f>VLOOKUP(C115,Table1[#All],4,FALSE)</f>
        <v>Home Office</v>
      </c>
      <c r="K115" t="str">
        <f>TEXT(Table13[[#This Row],[Order_Date]],"mmm-yyyy")</f>
        <v>Feb-2024</v>
      </c>
    </row>
    <row r="116" spans="1:11" x14ac:dyDescent="0.3">
      <c r="A116" t="s">
        <v>1383</v>
      </c>
      <c r="B116" s="1">
        <v>45316</v>
      </c>
      <c r="C116" t="s">
        <v>240</v>
      </c>
      <c r="D116" t="s">
        <v>995</v>
      </c>
      <c r="E116">
        <v>1078</v>
      </c>
      <c r="F116">
        <v>5</v>
      </c>
      <c r="G116">
        <v>-40</v>
      </c>
      <c r="H116">
        <v>0</v>
      </c>
      <c r="I116" t="str">
        <f>VLOOKUP(C116,Table1[#All],3,FALSE)</f>
        <v>Asia</v>
      </c>
      <c r="J116" t="str">
        <f>VLOOKUP(C116,Table1[#All],4,FALSE)</f>
        <v>Consumer</v>
      </c>
      <c r="K116" t="str">
        <f>TEXT(Table13[[#This Row],[Order_Date]],"mmm-yyyy")</f>
        <v>Jan-2024</v>
      </c>
    </row>
    <row r="117" spans="1:11" x14ac:dyDescent="0.3">
      <c r="A117" t="s">
        <v>1382</v>
      </c>
      <c r="B117" s="1">
        <v>45762</v>
      </c>
      <c r="C117" t="s">
        <v>242</v>
      </c>
      <c r="D117" t="s">
        <v>1000</v>
      </c>
      <c r="E117">
        <v>3771</v>
      </c>
      <c r="F117">
        <v>18</v>
      </c>
      <c r="G117">
        <v>-36</v>
      </c>
      <c r="H117">
        <v>0</v>
      </c>
      <c r="I117" t="str">
        <f>VLOOKUP(C117,Table1[#All],3,FALSE)</f>
        <v>Africa</v>
      </c>
      <c r="J117" t="str">
        <f>VLOOKUP(C117,Table1[#All],4,FALSE)</f>
        <v>Consumer</v>
      </c>
      <c r="K117" t="str">
        <f>TEXT(Table13[[#This Row],[Order_Date]],"mmm-yyyy")</f>
        <v>Apr-2025</v>
      </c>
    </row>
    <row r="118" spans="1:11" x14ac:dyDescent="0.3">
      <c r="A118" t="s">
        <v>1381</v>
      </c>
      <c r="B118" s="1">
        <v>45762</v>
      </c>
      <c r="C118" t="s">
        <v>244</v>
      </c>
      <c r="D118" t="s">
        <v>995</v>
      </c>
      <c r="E118">
        <v>2512.6559999999999</v>
      </c>
      <c r="F118">
        <v>8</v>
      </c>
      <c r="G118">
        <v>-2</v>
      </c>
      <c r="H118">
        <v>0.1</v>
      </c>
      <c r="I118" t="str">
        <f>VLOOKUP(C118,Table1[#All],3,FALSE)</f>
        <v>Africa</v>
      </c>
      <c r="J118" t="str">
        <f>VLOOKUP(C118,Table1[#All],4,FALSE)</f>
        <v>Corporate</v>
      </c>
      <c r="K118" t="str">
        <f>TEXT(Table13[[#This Row],[Order_Date]],"mmm-yyyy")</f>
        <v>Apr-2025</v>
      </c>
    </row>
    <row r="119" spans="1:11" x14ac:dyDescent="0.3">
      <c r="A119" t="s">
        <v>1380</v>
      </c>
      <c r="B119" s="1">
        <v>45604</v>
      </c>
      <c r="C119" t="s">
        <v>246</v>
      </c>
      <c r="D119" t="s">
        <v>995</v>
      </c>
      <c r="E119">
        <v>549.36599999999999</v>
      </c>
      <c r="F119">
        <v>2</v>
      </c>
      <c r="G119">
        <v>0</v>
      </c>
      <c r="H119">
        <v>0.05</v>
      </c>
      <c r="I119" t="str">
        <f>VLOOKUP(C119,Table1[#All],3,FALSE)</f>
        <v>Europe</v>
      </c>
      <c r="J119" t="str">
        <f>VLOOKUP(C119,Table1[#All],4,FALSE)</f>
        <v>Consumer</v>
      </c>
      <c r="K119" t="str">
        <f>TEXT(Table13[[#This Row],[Order_Date]],"mmm-yyyy")</f>
        <v>Nov-2024</v>
      </c>
    </row>
    <row r="120" spans="1:11" x14ac:dyDescent="0.3">
      <c r="A120" t="s">
        <v>1379</v>
      </c>
      <c r="B120" s="1">
        <v>44938</v>
      </c>
      <c r="C120" t="s">
        <v>248</v>
      </c>
      <c r="D120" t="s">
        <v>1000</v>
      </c>
      <c r="E120">
        <v>1984.65</v>
      </c>
      <c r="F120">
        <v>5</v>
      </c>
      <c r="G120">
        <v>267</v>
      </c>
      <c r="H120">
        <v>0</v>
      </c>
      <c r="I120" t="str">
        <f>VLOOKUP(C120,Table1[#All],3,FALSE)</f>
        <v>South America</v>
      </c>
      <c r="J120" t="str">
        <f>VLOOKUP(C120,Table1[#All],4,FALSE)</f>
        <v>Corporate</v>
      </c>
      <c r="K120" t="str">
        <f>TEXT(Table13[[#This Row],[Order_Date]],"mmm-yyyy")</f>
        <v>Jan-2023</v>
      </c>
    </row>
    <row r="121" spans="1:11" x14ac:dyDescent="0.3">
      <c r="A121" t="s">
        <v>1378</v>
      </c>
      <c r="B121" s="1">
        <v>45085</v>
      </c>
      <c r="C121" t="s">
        <v>250</v>
      </c>
      <c r="D121" t="s">
        <v>997</v>
      </c>
      <c r="E121">
        <v>4831.415</v>
      </c>
      <c r="F121">
        <v>10</v>
      </c>
      <c r="G121">
        <v>-235</v>
      </c>
      <c r="H121">
        <v>0.05</v>
      </c>
      <c r="I121" t="str">
        <f>VLOOKUP(C121,Table1[#All],3,FALSE)</f>
        <v>Africa</v>
      </c>
      <c r="J121" t="str">
        <f>VLOOKUP(C121,Table1[#All],4,FALSE)</f>
        <v>Corporate</v>
      </c>
      <c r="K121" t="str">
        <f>TEXT(Table13[[#This Row],[Order_Date]],"mmm-yyyy")</f>
        <v>Jun-2023</v>
      </c>
    </row>
    <row r="122" spans="1:11" x14ac:dyDescent="0.3">
      <c r="A122" t="s">
        <v>1377</v>
      </c>
      <c r="B122" s="1">
        <v>45315</v>
      </c>
      <c r="C122" t="s">
        <v>252</v>
      </c>
      <c r="D122" t="s">
        <v>995</v>
      </c>
      <c r="E122">
        <v>2570.1390000000001</v>
      </c>
      <c r="F122">
        <v>11</v>
      </c>
      <c r="G122">
        <v>-1</v>
      </c>
      <c r="H122">
        <v>0.1</v>
      </c>
      <c r="I122" t="str">
        <f>VLOOKUP(C122,Table1[#All],3,FALSE)</f>
        <v>Africa</v>
      </c>
      <c r="J122" t="str">
        <f>VLOOKUP(C122,Table1[#All],4,FALSE)</f>
        <v>Home Office</v>
      </c>
      <c r="K122" t="str">
        <f>TEXT(Table13[[#This Row],[Order_Date]],"mmm-yyyy")</f>
        <v>Jan-2024</v>
      </c>
    </row>
    <row r="123" spans="1:11" x14ac:dyDescent="0.3">
      <c r="A123" t="s">
        <v>1376</v>
      </c>
      <c r="B123" s="1">
        <v>45476</v>
      </c>
      <c r="C123" t="s">
        <v>254</v>
      </c>
      <c r="D123" t="s">
        <v>997</v>
      </c>
      <c r="E123">
        <v>2819.61</v>
      </c>
      <c r="F123">
        <v>9</v>
      </c>
      <c r="G123">
        <v>-48</v>
      </c>
      <c r="H123">
        <v>0</v>
      </c>
      <c r="I123" t="str">
        <f>VLOOKUP(C123,Table1[#All],3,FALSE)</f>
        <v>Africa</v>
      </c>
      <c r="J123" t="str">
        <f>VLOOKUP(C123,Table1[#All],4,FALSE)</f>
        <v>Consumer</v>
      </c>
      <c r="K123" t="str">
        <f>TEXT(Table13[[#This Row],[Order_Date]],"mmm-yyyy")</f>
        <v>Jul-2024</v>
      </c>
    </row>
    <row r="124" spans="1:11" x14ac:dyDescent="0.3">
      <c r="A124" t="s">
        <v>1375</v>
      </c>
      <c r="B124" s="1">
        <v>45313</v>
      </c>
      <c r="C124" t="s">
        <v>256</v>
      </c>
      <c r="D124" t="s">
        <v>995</v>
      </c>
      <c r="E124">
        <v>479.565</v>
      </c>
      <c r="F124">
        <v>5</v>
      </c>
      <c r="G124">
        <v>-209</v>
      </c>
      <c r="H124">
        <v>0.1</v>
      </c>
      <c r="I124" t="str">
        <f>VLOOKUP(C124,Table1[#All],3,FALSE)</f>
        <v>South America</v>
      </c>
      <c r="J124" t="str">
        <f>VLOOKUP(C124,Table1[#All],4,FALSE)</f>
        <v>Corporate</v>
      </c>
      <c r="K124" t="str">
        <f>TEXT(Table13[[#This Row],[Order_Date]],"mmm-yyyy")</f>
        <v>Jan-2024</v>
      </c>
    </row>
    <row r="125" spans="1:11" x14ac:dyDescent="0.3">
      <c r="A125" t="s">
        <v>1374</v>
      </c>
      <c r="B125" s="1">
        <v>44980</v>
      </c>
      <c r="C125" t="s">
        <v>258</v>
      </c>
      <c r="D125" t="s">
        <v>995</v>
      </c>
      <c r="E125">
        <v>92.65</v>
      </c>
      <c r="F125">
        <v>1</v>
      </c>
      <c r="G125">
        <v>-17</v>
      </c>
      <c r="H125">
        <v>0.15</v>
      </c>
      <c r="I125" t="str">
        <f>VLOOKUP(C125,Table1[#All],3,FALSE)</f>
        <v>Asia</v>
      </c>
      <c r="J125" t="str">
        <f>VLOOKUP(C125,Table1[#All],4,FALSE)</f>
        <v>Corporate</v>
      </c>
      <c r="K125" t="str">
        <f>TEXT(Table13[[#This Row],[Order_Date]],"mmm-yyyy")</f>
        <v>Feb-2023</v>
      </c>
    </row>
    <row r="126" spans="1:11" x14ac:dyDescent="0.3">
      <c r="A126" t="s">
        <v>1373</v>
      </c>
      <c r="B126" s="1">
        <v>45091</v>
      </c>
      <c r="C126" t="s">
        <v>260</v>
      </c>
      <c r="D126" t="s">
        <v>1000</v>
      </c>
      <c r="E126">
        <v>2590.4</v>
      </c>
      <c r="F126">
        <v>8</v>
      </c>
      <c r="G126">
        <v>248</v>
      </c>
      <c r="H126">
        <v>0</v>
      </c>
      <c r="I126" t="str">
        <f>VLOOKUP(C126,Table1[#All],3,FALSE)</f>
        <v>North America</v>
      </c>
      <c r="J126" t="str">
        <f>VLOOKUP(C126,Table1[#All],4,FALSE)</f>
        <v>Home Office</v>
      </c>
      <c r="K126" t="str">
        <f>TEXT(Table13[[#This Row],[Order_Date]],"mmm-yyyy")</f>
        <v>Jun-2023</v>
      </c>
    </row>
    <row r="127" spans="1:11" x14ac:dyDescent="0.3">
      <c r="A127" t="s">
        <v>1372</v>
      </c>
      <c r="B127" s="1">
        <v>45790</v>
      </c>
      <c r="C127" t="s">
        <v>262</v>
      </c>
      <c r="D127" t="s">
        <v>995</v>
      </c>
      <c r="E127">
        <v>5841.6639999999998</v>
      </c>
      <c r="F127">
        <v>16</v>
      </c>
      <c r="G127">
        <v>166</v>
      </c>
      <c r="H127">
        <v>0.05</v>
      </c>
      <c r="I127" t="str">
        <f>VLOOKUP(C127,Table1[#All],3,FALSE)</f>
        <v>North America</v>
      </c>
      <c r="J127" t="str">
        <f>VLOOKUP(C127,Table1[#All],4,FALSE)</f>
        <v>Home Office</v>
      </c>
      <c r="K127" t="str">
        <f>TEXT(Table13[[#This Row],[Order_Date]],"mmm-yyyy")</f>
        <v>May-2025</v>
      </c>
    </row>
    <row r="128" spans="1:11" x14ac:dyDescent="0.3">
      <c r="A128" t="s">
        <v>1371</v>
      </c>
      <c r="B128" s="1">
        <v>45503</v>
      </c>
      <c r="C128" t="s">
        <v>264</v>
      </c>
      <c r="D128" t="s">
        <v>995</v>
      </c>
      <c r="E128">
        <v>2228.4960000000001</v>
      </c>
      <c r="F128">
        <v>16</v>
      </c>
      <c r="G128">
        <v>-9</v>
      </c>
      <c r="H128">
        <v>0.15</v>
      </c>
      <c r="I128" t="str">
        <f>VLOOKUP(C128,Table1[#All],3,FALSE)</f>
        <v>Africa</v>
      </c>
      <c r="J128" t="str">
        <f>VLOOKUP(C128,Table1[#All],4,FALSE)</f>
        <v>Home Office</v>
      </c>
      <c r="K128" t="str">
        <f>TEXT(Table13[[#This Row],[Order_Date]],"mmm-yyyy")</f>
        <v>Jul-2024</v>
      </c>
    </row>
    <row r="129" spans="1:11" x14ac:dyDescent="0.3">
      <c r="A129" t="s">
        <v>1370</v>
      </c>
      <c r="B129" s="1">
        <v>45491</v>
      </c>
      <c r="C129" t="s">
        <v>266</v>
      </c>
      <c r="D129" t="s">
        <v>1000</v>
      </c>
      <c r="E129">
        <v>117.05</v>
      </c>
      <c r="F129">
        <v>5</v>
      </c>
      <c r="G129">
        <v>395</v>
      </c>
      <c r="H129">
        <v>0</v>
      </c>
      <c r="I129" t="str">
        <f>VLOOKUP(C129,Table1[#All],3,FALSE)</f>
        <v>Asia</v>
      </c>
      <c r="J129" t="str">
        <f>VLOOKUP(C129,Table1[#All],4,FALSE)</f>
        <v>Home Office</v>
      </c>
      <c r="K129" t="str">
        <f>TEXT(Table13[[#This Row],[Order_Date]],"mmm-yyyy")</f>
        <v>Jul-2024</v>
      </c>
    </row>
    <row r="130" spans="1:11" x14ac:dyDescent="0.3">
      <c r="A130" t="s">
        <v>1369</v>
      </c>
      <c r="B130" s="1">
        <v>45530</v>
      </c>
      <c r="C130" t="s">
        <v>268</v>
      </c>
      <c r="D130" t="s">
        <v>1000</v>
      </c>
      <c r="E130">
        <v>8311.2999999999993</v>
      </c>
      <c r="F130">
        <v>20</v>
      </c>
      <c r="G130">
        <v>303</v>
      </c>
      <c r="H130">
        <v>0.15</v>
      </c>
      <c r="I130" t="str">
        <f>VLOOKUP(C130,Table1[#All],3,FALSE)</f>
        <v>Asia</v>
      </c>
      <c r="J130" t="str">
        <f>VLOOKUP(C130,Table1[#All],4,FALSE)</f>
        <v>Corporate</v>
      </c>
      <c r="K130" t="str">
        <f>TEXT(Table13[[#This Row],[Order_Date]],"mmm-yyyy")</f>
        <v>Aug-2024</v>
      </c>
    </row>
    <row r="131" spans="1:11" x14ac:dyDescent="0.3">
      <c r="A131" t="s">
        <v>1368</v>
      </c>
      <c r="B131" s="1">
        <v>45875</v>
      </c>
      <c r="C131" t="s">
        <v>270</v>
      </c>
      <c r="D131" t="s">
        <v>995</v>
      </c>
      <c r="E131">
        <v>3009.5239999999999</v>
      </c>
      <c r="F131">
        <v>7</v>
      </c>
      <c r="G131">
        <v>1</v>
      </c>
      <c r="H131">
        <v>0.05</v>
      </c>
      <c r="I131" t="str">
        <f>VLOOKUP(C131,Table1[#All],3,FALSE)</f>
        <v>Europe</v>
      </c>
      <c r="J131" t="str">
        <f>VLOOKUP(C131,Table1[#All],4,FALSE)</f>
        <v>Corporate</v>
      </c>
      <c r="K131" t="str">
        <f>TEXT(Table13[[#This Row],[Order_Date]],"mmm-yyyy")</f>
        <v>Aug-2025</v>
      </c>
    </row>
    <row r="132" spans="1:11" x14ac:dyDescent="0.3">
      <c r="A132" t="s">
        <v>1367</v>
      </c>
      <c r="B132" s="1">
        <v>45793</v>
      </c>
      <c r="C132" t="s">
        <v>272</v>
      </c>
      <c r="D132" t="s">
        <v>995</v>
      </c>
      <c r="E132">
        <v>5117.6400000000003</v>
      </c>
      <c r="F132">
        <v>11</v>
      </c>
      <c r="G132">
        <v>56</v>
      </c>
      <c r="H132">
        <v>0</v>
      </c>
      <c r="I132" t="str">
        <f>VLOOKUP(C132,Table1[#All],3,FALSE)</f>
        <v>North America</v>
      </c>
      <c r="J132" t="str">
        <f>VLOOKUP(C132,Table1[#All],4,FALSE)</f>
        <v>Home Office</v>
      </c>
      <c r="K132" t="str">
        <f>TEXT(Table13[[#This Row],[Order_Date]],"mmm-yyyy")</f>
        <v>May-2025</v>
      </c>
    </row>
    <row r="133" spans="1:11" x14ac:dyDescent="0.3">
      <c r="A133" t="s">
        <v>1366</v>
      </c>
      <c r="B133" s="1">
        <v>45491</v>
      </c>
      <c r="C133" t="s">
        <v>274</v>
      </c>
      <c r="D133" t="s">
        <v>995</v>
      </c>
      <c r="E133">
        <v>6197.1</v>
      </c>
      <c r="F133">
        <v>14</v>
      </c>
      <c r="G133">
        <v>-15</v>
      </c>
      <c r="H133">
        <v>0</v>
      </c>
      <c r="I133" t="str">
        <f>VLOOKUP(C133,Table1[#All],3,FALSE)</f>
        <v>Asia</v>
      </c>
      <c r="J133" t="str">
        <f>VLOOKUP(C133,Table1[#All],4,FALSE)</f>
        <v>Corporate</v>
      </c>
      <c r="K133" t="str">
        <f>TEXT(Table13[[#This Row],[Order_Date]],"mmm-yyyy")</f>
        <v>Jul-2024</v>
      </c>
    </row>
    <row r="134" spans="1:11" x14ac:dyDescent="0.3">
      <c r="A134" t="s">
        <v>1365</v>
      </c>
      <c r="B134" s="1">
        <v>45186</v>
      </c>
      <c r="C134" t="s">
        <v>276</v>
      </c>
      <c r="D134" t="s">
        <v>997</v>
      </c>
      <c r="E134">
        <v>5633.28</v>
      </c>
      <c r="F134">
        <v>12</v>
      </c>
      <c r="G134">
        <v>-100</v>
      </c>
      <c r="H134">
        <v>0</v>
      </c>
      <c r="I134" t="str">
        <f>VLOOKUP(C134,Table1[#All],3,FALSE)</f>
        <v>Europe</v>
      </c>
      <c r="J134" t="str">
        <f>VLOOKUP(C134,Table1[#All],4,FALSE)</f>
        <v>Consumer</v>
      </c>
      <c r="K134" t="str">
        <f>TEXT(Table13[[#This Row],[Order_Date]],"mmm-yyyy")</f>
        <v>Sep-2023</v>
      </c>
    </row>
    <row r="135" spans="1:11" x14ac:dyDescent="0.3">
      <c r="A135" t="s">
        <v>1364</v>
      </c>
      <c r="B135" s="1">
        <v>44998</v>
      </c>
      <c r="C135" t="s">
        <v>278</v>
      </c>
      <c r="D135" t="s">
        <v>995</v>
      </c>
      <c r="E135">
        <v>3308.6410000000001</v>
      </c>
      <c r="F135">
        <v>14</v>
      </c>
      <c r="G135">
        <v>-12</v>
      </c>
      <c r="H135">
        <v>0.05</v>
      </c>
      <c r="I135" t="str">
        <f>VLOOKUP(C135,Table1[#All],3,FALSE)</f>
        <v>Asia</v>
      </c>
      <c r="J135" t="str">
        <f>VLOOKUP(C135,Table1[#All],4,FALSE)</f>
        <v>Home Office</v>
      </c>
      <c r="K135" t="str">
        <f>TEXT(Table13[[#This Row],[Order_Date]],"mmm-yyyy")</f>
        <v>Mar-2023</v>
      </c>
    </row>
    <row r="136" spans="1:11" x14ac:dyDescent="0.3">
      <c r="A136" t="s">
        <v>1363</v>
      </c>
      <c r="B136" s="1">
        <v>45014</v>
      </c>
      <c r="C136" t="s">
        <v>280</v>
      </c>
      <c r="D136" t="s">
        <v>995</v>
      </c>
      <c r="E136">
        <v>2148.1019999999999</v>
      </c>
      <c r="F136">
        <v>4</v>
      </c>
      <c r="G136">
        <v>254</v>
      </c>
      <c r="H136">
        <v>0.05</v>
      </c>
      <c r="I136" t="str">
        <f>VLOOKUP(C136,Table1[#All],3,FALSE)</f>
        <v>South America</v>
      </c>
      <c r="J136" t="str">
        <f>VLOOKUP(C136,Table1[#All],4,FALSE)</f>
        <v>Home Office</v>
      </c>
      <c r="K136" t="str">
        <f>TEXT(Table13[[#This Row],[Order_Date]],"mmm-yyyy")</f>
        <v>Mar-2023</v>
      </c>
    </row>
    <row r="137" spans="1:11" x14ac:dyDescent="0.3">
      <c r="A137" t="s">
        <v>1362</v>
      </c>
      <c r="B137" s="1">
        <v>45121</v>
      </c>
      <c r="C137" t="s">
        <v>282</v>
      </c>
      <c r="D137" t="s">
        <v>995</v>
      </c>
      <c r="E137">
        <v>2790.72</v>
      </c>
      <c r="F137">
        <v>12</v>
      </c>
      <c r="G137">
        <v>1</v>
      </c>
      <c r="H137">
        <v>0.05</v>
      </c>
      <c r="I137" t="str">
        <f>VLOOKUP(C137,Table1[#All],3,FALSE)</f>
        <v>Africa</v>
      </c>
      <c r="J137" t="str">
        <f>VLOOKUP(C137,Table1[#All],4,FALSE)</f>
        <v>Corporate</v>
      </c>
      <c r="K137" t="str">
        <f>TEXT(Table13[[#This Row],[Order_Date]],"mmm-yyyy")</f>
        <v>Jul-2023</v>
      </c>
    </row>
    <row r="138" spans="1:11" x14ac:dyDescent="0.3">
      <c r="A138" t="s">
        <v>1361</v>
      </c>
      <c r="B138" s="1">
        <v>45373</v>
      </c>
      <c r="C138" t="s">
        <v>284</v>
      </c>
      <c r="D138" t="s">
        <v>995</v>
      </c>
      <c r="E138">
        <v>3592.9854999999998</v>
      </c>
      <c r="F138">
        <v>13</v>
      </c>
      <c r="G138">
        <v>1</v>
      </c>
      <c r="H138">
        <v>0.05</v>
      </c>
      <c r="I138" t="str">
        <f>VLOOKUP(C138,Table1[#All],3,FALSE)</f>
        <v>Europe</v>
      </c>
      <c r="J138" t="str">
        <f>VLOOKUP(C138,Table1[#All],4,FALSE)</f>
        <v>Home Office</v>
      </c>
      <c r="K138" t="str">
        <f>TEXT(Table13[[#This Row],[Order_Date]],"mmm-yyyy")</f>
        <v>Mar-2024</v>
      </c>
    </row>
    <row r="139" spans="1:11" x14ac:dyDescent="0.3">
      <c r="A139" t="s">
        <v>1360</v>
      </c>
      <c r="B139" s="1">
        <v>45426</v>
      </c>
      <c r="C139" t="s">
        <v>286</v>
      </c>
      <c r="D139" t="s">
        <v>995</v>
      </c>
      <c r="E139">
        <v>2271.951</v>
      </c>
      <c r="F139">
        <v>11</v>
      </c>
      <c r="G139">
        <v>1</v>
      </c>
      <c r="H139">
        <v>0.1</v>
      </c>
      <c r="I139" t="str">
        <f>VLOOKUP(C139,Table1[#All],3,FALSE)</f>
        <v>Africa</v>
      </c>
      <c r="J139" t="str">
        <f>VLOOKUP(C139,Table1[#All],4,FALSE)</f>
        <v>Corporate</v>
      </c>
      <c r="K139" t="str">
        <f>TEXT(Table13[[#This Row],[Order_Date]],"mmm-yyyy")</f>
        <v>May-2024</v>
      </c>
    </row>
    <row r="140" spans="1:11" x14ac:dyDescent="0.3">
      <c r="A140" t="s">
        <v>1359</v>
      </c>
      <c r="B140" s="1">
        <v>45076</v>
      </c>
      <c r="C140" t="s">
        <v>288</v>
      </c>
      <c r="D140" t="s">
        <v>995</v>
      </c>
      <c r="E140">
        <v>811.98400000000004</v>
      </c>
      <c r="F140">
        <v>2</v>
      </c>
      <c r="G140">
        <v>10</v>
      </c>
      <c r="H140">
        <v>0.05</v>
      </c>
      <c r="I140" t="str">
        <f>VLOOKUP(C140,Table1[#All],3,FALSE)</f>
        <v>Africa</v>
      </c>
      <c r="J140" t="str">
        <f>VLOOKUP(C140,Table1[#All],4,FALSE)</f>
        <v>Corporate</v>
      </c>
      <c r="K140" t="str">
        <f>TEXT(Table13[[#This Row],[Order_Date]],"mmm-yyyy")</f>
        <v>May-2023</v>
      </c>
    </row>
    <row r="141" spans="1:11" x14ac:dyDescent="0.3">
      <c r="A141" t="s">
        <v>1358</v>
      </c>
      <c r="B141" s="1">
        <v>45004</v>
      </c>
      <c r="C141" t="s">
        <v>290</v>
      </c>
      <c r="D141" t="s">
        <v>1000</v>
      </c>
      <c r="E141">
        <v>842.66899999999998</v>
      </c>
      <c r="F141">
        <v>2</v>
      </c>
      <c r="G141">
        <v>259</v>
      </c>
      <c r="H141">
        <v>0.05</v>
      </c>
      <c r="I141" t="str">
        <f>VLOOKUP(C141,Table1[#All],3,FALSE)</f>
        <v>North America</v>
      </c>
      <c r="J141" t="str">
        <f>VLOOKUP(C141,Table1[#All],4,FALSE)</f>
        <v>Corporate</v>
      </c>
      <c r="K141" t="str">
        <f>TEXT(Table13[[#This Row],[Order_Date]],"mmm-yyyy")</f>
        <v>Mar-2023</v>
      </c>
    </row>
    <row r="142" spans="1:11" x14ac:dyDescent="0.3">
      <c r="A142" t="s">
        <v>1357</v>
      </c>
      <c r="B142" s="1">
        <v>45177</v>
      </c>
      <c r="C142" t="s">
        <v>292</v>
      </c>
      <c r="D142" t="s">
        <v>1000</v>
      </c>
      <c r="E142">
        <v>3100.9614999999999</v>
      </c>
      <c r="F142">
        <v>13</v>
      </c>
      <c r="G142">
        <v>-187</v>
      </c>
      <c r="H142">
        <v>0.15</v>
      </c>
      <c r="I142" t="str">
        <f>VLOOKUP(C142,Table1[#All],3,FALSE)</f>
        <v>Africa</v>
      </c>
      <c r="J142" t="str">
        <f>VLOOKUP(C142,Table1[#All],4,FALSE)</f>
        <v>Consumer</v>
      </c>
      <c r="K142" t="str">
        <f>TEXT(Table13[[#This Row],[Order_Date]],"mmm-yyyy")</f>
        <v>Sep-2023</v>
      </c>
    </row>
    <row r="143" spans="1:11" x14ac:dyDescent="0.3">
      <c r="A143" t="s">
        <v>1356</v>
      </c>
      <c r="B143" s="1">
        <v>45578</v>
      </c>
      <c r="C143" t="s">
        <v>294</v>
      </c>
      <c r="D143" t="s">
        <v>997</v>
      </c>
      <c r="E143">
        <v>4604.0929999999998</v>
      </c>
      <c r="F143">
        <v>13</v>
      </c>
      <c r="G143">
        <v>-309</v>
      </c>
      <c r="H143">
        <v>0.15</v>
      </c>
      <c r="I143" t="str">
        <f>VLOOKUP(C143,Table1[#All],3,FALSE)</f>
        <v>North America</v>
      </c>
      <c r="J143" t="str">
        <f>VLOOKUP(C143,Table1[#All],4,FALSE)</f>
        <v>Consumer</v>
      </c>
      <c r="K143" t="str">
        <f>TEXT(Table13[[#This Row],[Order_Date]],"mmm-yyyy")</f>
        <v>Oct-2024</v>
      </c>
    </row>
    <row r="144" spans="1:11" x14ac:dyDescent="0.3">
      <c r="A144" t="s">
        <v>1355</v>
      </c>
      <c r="B144" s="1">
        <v>45705</v>
      </c>
      <c r="C144" t="s">
        <v>296</v>
      </c>
      <c r="D144" t="s">
        <v>997</v>
      </c>
      <c r="E144">
        <v>6484.28</v>
      </c>
      <c r="F144">
        <v>11</v>
      </c>
      <c r="G144">
        <v>-213</v>
      </c>
      <c r="H144">
        <v>0</v>
      </c>
      <c r="I144" t="str">
        <f>VLOOKUP(C144,Table1[#All],3,FALSE)</f>
        <v>Asia</v>
      </c>
      <c r="J144" t="str">
        <f>VLOOKUP(C144,Table1[#All],4,FALSE)</f>
        <v>Consumer</v>
      </c>
      <c r="K144" t="str">
        <f>TEXT(Table13[[#This Row],[Order_Date]],"mmm-yyyy")</f>
        <v>Feb-2025</v>
      </c>
    </row>
    <row r="145" spans="1:11" x14ac:dyDescent="0.3">
      <c r="A145" t="s">
        <v>1354</v>
      </c>
      <c r="B145" s="1">
        <v>45967</v>
      </c>
      <c r="C145" t="s">
        <v>298</v>
      </c>
      <c r="D145" t="s">
        <v>995</v>
      </c>
      <c r="E145">
        <v>2338.4520000000002</v>
      </c>
      <c r="F145">
        <v>18</v>
      </c>
      <c r="G145">
        <v>15</v>
      </c>
      <c r="H145">
        <v>0.15</v>
      </c>
      <c r="I145" t="str">
        <f>VLOOKUP(C145,Table1[#All],3,FALSE)</f>
        <v>North America</v>
      </c>
      <c r="J145" t="str">
        <f>VLOOKUP(C145,Table1[#All],4,FALSE)</f>
        <v>Consumer</v>
      </c>
      <c r="K145" t="str">
        <f>TEXT(Table13[[#This Row],[Order_Date]],"mmm-yyyy")</f>
        <v>Nov-2025</v>
      </c>
    </row>
    <row r="146" spans="1:11" x14ac:dyDescent="0.3">
      <c r="A146" t="s">
        <v>1353</v>
      </c>
      <c r="B146" s="1">
        <v>45411</v>
      </c>
      <c r="C146" t="s">
        <v>300</v>
      </c>
      <c r="D146" t="s">
        <v>995</v>
      </c>
      <c r="E146">
        <v>654.64</v>
      </c>
      <c r="F146">
        <v>4</v>
      </c>
      <c r="G146">
        <v>-2</v>
      </c>
      <c r="H146">
        <v>0</v>
      </c>
      <c r="I146" t="str">
        <f>VLOOKUP(C146,Table1[#All],3,FALSE)</f>
        <v>Africa</v>
      </c>
      <c r="J146" t="str">
        <f>VLOOKUP(C146,Table1[#All],4,FALSE)</f>
        <v>Consumer</v>
      </c>
      <c r="K146" t="str">
        <f>TEXT(Table13[[#This Row],[Order_Date]],"mmm-yyyy")</f>
        <v>Apr-2024</v>
      </c>
    </row>
    <row r="147" spans="1:11" x14ac:dyDescent="0.3">
      <c r="A147" t="s">
        <v>1352</v>
      </c>
      <c r="B147" s="1">
        <v>45003</v>
      </c>
      <c r="C147" t="s">
        <v>302</v>
      </c>
      <c r="D147" t="s">
        <v>997</v>
      </c>
      <c r="E147">
        <v>7820.6374999999998</v>
      </c>
      <c r="F147">
        <v>19</v>
      </c>
      <c r="G147">
        <v>167</v>
      </c>
      <c r="H147">
        <v>0.15</v>
      </c>
      <c r="I147" t="str">
        <f>VLOOKUP(C147,Table1[#All],3,FALSE)</f>
        <v>Europe</v>
      </c>
      <c r="J147" t="str">
        <f>VLOOKUP(C147,Table1[#All],4,FALSE)</f>
        <v>Corporate</v>
      </c>
      <c r="K147" t="str">
        <f>TEXT(Table13[[#This Row],[Order_Date]],"mmm-yyyy")</f>
        <v>Mar-2023</v>
      </c>
    </row>
    <row r="148" spans="1:11" x14ac:dyDescent="0.3">
      <c r="A148" t="s">
        <v>1351</v>
      </c>
      <c r="B148" s="1">
        <v>45647</v>
      </c>
      <c r="C148" t="s">
        <v>304</v>
      </c>
      <c r="D148" t="s">
        <v>997</v>
      </c>
      <c r="E148">
        <v>3081.24</v>
      </c>
      <c r="F148">
        <v>9</v>
      </c>
      <c r="G148">
        <v>225</v>
      </c>
      <c r="H148">
        <v>0.1</v>
      </c>
      <c r="I148" t="str">
        <f>VLOOKUP(C148,Table1[#All],3,FALSE)</f>
        <v>North America</v>
      </c>
      <c r="J148" t="str">
        <f>VLOOKUP(C148,Table1[#All],4,FALSE)</f>
        <v>Consumer</v>
      </c>
      <c r="K148" t="str">
        <f>TEXT(Table13[[#This Row],[Order_Date]],"mmm-yyyy")</f>
        <v>Dec-2024</v>
      </c>
    </row>
    <row r="149" spans="1:11" x14ac:dyDescent="0.3">
      <c r="A149" t="s">
        <v>1350</v>
      </c>
      <c r="B149" s="1">
        <v>45039</v>
      </c>
      <c r="C149" t="s">
        <v>306</v>
      </c>
      <c r="D149" t="s">
        <v>995</v>
      </c>
      <c r="E149">
        <v>5085.4139999999998</v>
      </c>
      <c r="F149">
        <v>17</v>
      </c>
      <c r="G149">
        <v>-316</v>
      </c>
      <c r="H149">
        <v>0.1</v>
      </c>
      <c r="I149" t="str">
        <f>VLOOKUP(C149,Table1[#All],3,FALSE)</f>
        <v>Europe</v>
      </c>
      <c r="J149" t="str">
        <f>VLOOKUP(C149,Table1[#All],4,FALSE)</f>
        <v>Consumer</v>
      </c>
      <c r="K149" t="str">
        <f>TEXT(Table13[[#This Row],[Order_Date]],"mmm-yyyy")</f>
        <v>Apr-2023</v>
      </c>
    </row>
    <row r="150" spans="1:11" x14ac:dyDescent="0.3">
      <c r="A150" t="s">
        <v>1349</v>
      </c>
      <c r="B150" s="1">
        <v>45966</v>
      </c>
      <c r="C150" t="s">
        <v>308</v>
      </c>
      <c r="D150" t="s">
        <v>995</v>
      </c>
      <c r="E150">
        <v>3005.895</v>
      </c>
      <c r="F150">
        <v>15</v>
      </c>
      <c r="G150">
        <v>316</v>
      </c>
      <c r="H150">
        <v>0.05</v>
      </c>
      <c r="I150" t="str">
        <f>VLOOKUP(C150,Table1[#All],3,FALSE)</f>
        <v>Africa</v>
      </c>
      <c r="J150" t="str">
        <f>VLOOKUP(C150,Table1[#All],4,FALSE)</f>
        <v>Consumer</v>
      </c>
      <c r="K150" t="str">
        <f>TEXT(Table13[[#This Row],[Order_Date]],"mmm-yyyy")</f>
        <v>Nov-2025</v>
      </c>
    </row>
    <row r="151" spans="1:11" x14ac:dyDescent="0.3">
      <c r="A151" t="s">
        <v>1348</v>
      </c>
      <c r="B151" s="1">
        <v>45354</v>
      </c>
      <c r="C151" t="s">
        <v>310</v>
      </c>
      <c r="D151" t="s">
        <v>997</v>
      </c>
      <c r="E151">
        <v>3445.2</v>
      </c>
      <c r="F151">
        <v>9</v>
      </c>
      <c r="G151">
        <v>208</v>
      </c>
      <c r="H151">
        <v>0</v>
      </c>
      <c r="I151" t="str">
        <f>VLOOKUP(C151,Table1[#All],3,FALSE)</f>
        <v>South America</v>
      </c>
      <c r="J151" t="str">
        <f>VLOOKUP(C151,Table1[#All],4,FALSE)</f>
        <v>Corporate</v>
      </c>
      <c r="K151" t="str">
        <f>TEXT(Table13[[#This Row],[Order_Date]],"mmm-yyyy")</f>
        <v>Mar-2024</v>
      </c>
    </row>
    <row r="152" spans="1:11" x14ac:dyDescent="0.3">
      <c r="A152" t="s">
        <v>1347</v>
      </c>
      <c r="B152" s="1">
        <v>45677</v>
      </c>
      <c r="C152" t="s">
        <v>312</v>
      </c>
      <c r="D152" t="s">
        <v>995</v>
      </c>
      <c r="E152">
        <v>985.03949999999998</v>
      </c>
      <c r="F152">
        <v>3</v>
      </c>
      <c r="G152">
        <v>-28</v>
      </c>
      <c r="H152">
        <v>0.15</v>
      </c>
      <c r="I152" t="str">
        <f>VLOOKUP(C152,Table1[#All],3,FALSE)</f>
        <v>North America</v>
      </c>
      <c r="J152" t="str">
        <f>VLOOKUP(C152,Table1[#All],4,FALSE)</f>
        <v>Home Office</v>
      </c>
      <c r="K152" t="str">
        <f>TEXT(Table13[[#This Row],[Order_Date]],"mmm-yyyy")</f>
        <v>Jan-2025</v>
      </c>
    </row>
    <row r="153" spans="1:11" x14ac:dyDescent="0.3">
      <c r="A153" t="s">
        <v>1346</v>
      </c>
      <c r="B153" s="1">
        <v>45738</v>
      </c>
      <c r="C153" t="s">
        <v>314</v>
      </c>
      <c r="D153" t="s">
        <v>1000</v>
      </c>
      <c r="E153">
        <v>1129.95</v>
      </c>
      <c r="F153">
        <v>5</v>
      </c>
      <c r="G153">
        <v>119</v>
      </c>
      <c r="H153">
        <v>0</v>
      </c>
      <c r="I153" t="str">
        <f>VLOOKUP(C153,Table1[#All],3,FALSE)</f>
        <v>North America</v>
      </c>
      <c r="J153" t="str">
        <f>VLOOKUP(C153,Table1[#All],4,FALSE)</f>
        <v>Home Office</v>
      </c>
      <c r="K153" t="str">
        <f>TEXT(Table13[[#This Row],[Order_Date]],"mmm-yyyy")</f>
        <v>Mar-2025</v>
      </c>
    </row>
    <row r="154" spans="1:11" x14ac:dyDescent="0.3">
      <c r="A154" t="s">
        <v>1345</v>
      </c>
      <c r="B154" s="1">
        <v>45744</v>
      </c>
      <c r="C154" t="s">
        <v>18</v>
      </c>
      <c r="D154" t="s">
        <v>995</v>
      </c>
      <c r="E154">
        <v>5313.52</v>
      </c>
      <c r="F154">
        <v>20</v>
      </c>
      <c r="G154">
        <v>292</v>
      </c>
      <c r="H154">
        <v>0.15</v>
      </c>
      <c r="I154" t="str">
        <f>VLOOKUP(C154,Table1[#All],3,FALSE)</f>
        <v>Asia</v>
      </c>
      <c r="J154" t="str">
        <f>VLOOKUP(C154,Table1[#All],4,FALSE)</f>
        <v>Home Office</v>
      </c>
      <c r="K154" t="str">
        <f>TEXT(Table13[[#This Row],[Order_Date]],"mmm-yyyy")</f>
        <v>Mar-2025</v>
      </c>
    </row>
    <row r="155" spans="1:11" x14ac:dyDescent="0.3">
      <c r="A155" t="s">
        <v>1344</v>
      </c>
      <c r="B155" s="1">
        <v>45705</v>
      </c>
      <c r="C155" t="s">
        <v>317</v>
      </c>
      <c r="D155" t="s">
        <v>1000</v>
      </c>
      <c r="E155">
        <v>5357.0595000000003</v>
      </c>
      <c r="F155">
        <v>13</v>
      </c>
      <c r="G155">
        <v>51</v>
      </c>
      <c r="H155">
        <v>0.05</v>
      </c>
      <c r="I155" t="str">
        <f>VLOOKUP(C155,Table1[#All],3,FALSE)</f>
        <v>North America</v>
      </c>
      <c r="J155" t="str">
        <f>VLOOKUP(C155,Table1[#All],4,FALSE)</f>
        <v>Corporate</v>
      </c>
      <c r="K155" t="str">
        <f>TEXT(Table13[[#This Row],[Order_Date]],"mmm-yyyy")</f>
        <v>Feb-2025</v>
      </c>
    </row>
    <row r="156" spans="1:11" x14ac:dyDescent="0.3">
      <c r="A156" t="s">
        <v>1343</v>
      </c>
      <c r="B156" s="1">
        <v>45515</v>
      </c>
      <c r="C156" t="s">
        <v>319</v>
      </c>
      <c r="D156" t="s">
        <v>1000</v>
      </c>
      <c r="E156">
        <v>3186.6</v>
      </c>
      <c r="F156">
        <v>20</v>
      </c>
      <c r="G156">
        <v>89</v>
      </c>
      <c r="H156">
        <v>0</v>
      </c>
      <c r="I156" t="str">
        <f>VLOOKUP(C156,Table1[#All],3,FALSE)</f>
        <v>South America</v>
      </c>
      <c r="J156" t="str">
        <f>VLOOKUP(C156,Table1[#All],4,FALSE)</f>
        <v>Home Office</v>
      </c>
      <c r="K156" t="str">
        <f>TEXT(Table13[[#This Row],[Order_Date]],"mmm-yyyy")</f>
        <v>Aug-2024</v>
      </c>
    </row>
    <row r="157" spans="1:11" x14ac:dyDescent="0.3">
      <c r="A157" t="s">
        <v>1342</v>
      </c>
      <c r="B157" s="1">
        <v>45368</v>
      </c>
      <c r="C157" t="s">
        <v>321</v>
      </c>
      <c r="D157" t="s">
        <v>995</v>
      </c>
      <c r="E157">
        <v>551.13300000000004</v>
      </c>
      <c r="F157">
        <v>18</v>
      </c>
      <c r="G157">
        <v>175</v>
      </c>
      <c r="H157">
        <v>0.05</v>
      </c>
      <c r="I157" t="str">
        <f>VLOOKUP(C157,Table1[#All],3,FALSE)</f>
        <v>South America</v>
      </c>
      <c r="J157" t="str">
        <f>VLOOKUP(C157,Table1[#All],4,FALSE)</f>
        <v>Corporate</v>
      </c>
      <c r="K157" t="str">
        <f>TEXT(Table13[[#This Row],[Order_Date]],"mmm-yyyy")</f>
        <v>Mar-2024</v>
      </c>
    </row>
    <row r="158" spans="1:11" x14ac:dyDescent="0.3">
      <c r="A158" t="s">
        <v>1341</v>
      </c>
      <c r="B158" s="1">
        <v>45167</v>
      </c>
      <c r="C158" t="s">
        <v>323</v>
      </c>
      <c r="D158" t="s">
        <v>1000</v>
      </c>
      <c r="E158">
        <v>1424.979</v>
      </c>
      <c r="F158">
        <v>3</v>
      </c>
      <c r="G158">
        <v>262</v>
      </c>
      <c r="H158">
        <v>0.1</v>
      </c>
      <c r="I158" t="str">
        <f>VLOOKUP(C158,Table1[#All],3,FALSE)</f>
        <v>South America</v>
      </c>
      <c r="J158" t="str">
        <f>VLOOKUP(C158,Table1[#All],4,FALSE)</f>
        <v>Corporate</v>
      </c>
      <c r="K158" t="str">
        <f>TEXT(Table13[[#This Row],[Order_Date]],"mmm-yyyy")</f>
        <v>Aug-2023</v>
      </c>
    </row>
    <row r="159" spans="1:11" x14ac:dyDescent="0.3">
      <c r="A159" t="s">
        <v>1340</v>
      </c>
      <c r="B159" s="1">
        <v>45099</v>
      </c>
      <c r="C159" t="s">
        <v>325</v>
      </c>
      <c r="D159" t="s">
        <v>995</v>
      </c>
      <c r="E159">
        <v>4075.26</v>
      </c>
      <c r="F159">
        <v>14</v>
      </c>
      <c r="G159">
        <v>84</v>
      </c>
      <c r="H159">
        <v>0</v>
      </c>
      <c r="I159" t="str">
        <f>VLOOKUP(C159,Table1[#All],3,FALSE)</f>
        <v>South America</v>
      </c>
      <c r="J159" t="str">
        <f>VLOOKUP(C159,Table1[#All],4,FALSE)</f>
        <v>Consumer</v>
      </c>
      <c r="K159" t="str">
        <f>TEXT(Table13[[#This Row],[Order_Date]],"mmm-yyyy")</f>
        <v>Jun-2023</v>
      </c>
    </row>
    <row r="160" spans="1:11" x14ac:dyDescent="0.3">
      <c r="A160" t="s">
        <v>1339</v>
      </c>
      <c r="B160" s="1">
        <v>45346</v>
      </c>
      <c r="C160" t="s">
        <v>327</v>
      </c>
      <c r="D160" t="s">
        <v>997</v>
      </c>
      <c r="E160">
        <v>2800.96</v>
      </c>
      <c r="F160">
        <v>8</v>
      </c>
      <c r="G160">
        <v>19</v>
      </c>
      <c r="H160">
        <v>0</v>
      </c>
      <c r="I160" t="str">
        <f>VLOOKUP(C160,Table1[#All],3,FALSE)</f>
        <v>South America</v>
      </c>
      <c r="J160" t="str">
        <f>VLOOKUP(C160,Table1[#All],4,FALSE)</f>
        <v>Corporate</v>
      </c>
      <c r="K160" t="str">
        <f>TEXT(Table13[[#This Row],[Order_Date]],"mmm-yyyy")</f>
        <v>Feb-2024</v>
      </c>
    </row>
    <row r="161" spans="1:11" x14ac:dyDescent="0.3">
      <c r="A161" t="s">
        <v>1338</v>
      </c>
      <c r="B161" s="1">
        <v>45569</v>
      </c>
      <c r="C161" t="s">
        <v>329</v>
      </c>
      <c r="D161" t="s">
        <v>995</v>
      </c>
      <c r="E161">
        <v>1854.97</v>
      </c>
      <c r="F161">
        <v>10</v>
      </c>
      <c r="G161">
        <v>212</v>
      </c>
      <c r="H161">
        <v>0.05</v>
      </c>
      <c r="I161" t="str">
        <f>VLOOKUP(C161,Table1[#All],3,FALSE)</f>
        <v>North America</v>
      </c>
      <c r="J161" t="str">
        <f>VLOOKUP(C161,Table1[#All],4,FALSE)</f>
        <v>Consumer</v>
      </c>
      <c r="K161" t="str">
        <f>TEXT(Table13[[#This Row],[Order_Date]],"mmm-yyyy")</f>
        <v>Oct-2024</v>
      </c>
    </row>
    <row r="162" spans="1:11" x14ac:dyDescent="0.3">
      <c r="A162" t="s">
        <v>1337</v>
      </c>
      <c r="B162" s="1">
        <v>45060</v>
      </c>
      <c r="C162" t="s">
        <v>331</v>
      </c>
      <c r="D162" t="s">
        <v>997</v>
      </c>
      <c r="E162">
        <v>3784.3</v>
      </c>
      <c r="F162">
        <v>13</v>
      </c>
      <c r="G162">
        <v>-424</v>
      </c>
      <c r="H162">
        <v>0</v>
      </c>
      <c r="I162" t="str">
        <f>VLOOKUP(C162,Table1[#All],3,FALSE)</f>
        <v>South America</v>
      </c>
      <c r="J162" t="str">
        <f>VLOOKUP(C162,Table1[#All],4,FALSE)</f>
        <v>Home Office</v>
      </c>
      <c r="K162" t="str">
        <f>TEXT(Table13[[#This Row],[Order_Date]],"mmm-yyyy")</f>
        <v>May-2023</v>
      </c>
    </row>
    <row r="163" spans="1:11" x14ac:dyDescent="0.3">
      <c r="A163" t="s">
        <v>1336</v>
      </c>
      <c r="B163" s="1">
        <v>45233</v>
      </c>
      <c r="C163" t="s">
        <v>333</v>
      </c>
      <c r="D163" t="s">
        <v>995</v>
      </c>
      <c r="E163">
        <v>478.99200000000002</v>
      </c>
      <c r="F163">
        <v>6</v>
      </c>
      <c r="G163">
        <v>8</v>
      </c>
      <c r="H163">
        <v>0.15</v>
      </c>
      <c r="I163" t="str">
        <f>VLOOKUP(C163,Table1[#All],3,FALSE)</f>
        <v>South America</v>
      </c>
      <c r="J163" t="str">
        <f>VLOOKUP(C163,Table1[#All],4,FALSE)</f>
        <v>Corporate</v>
      </c>
      <c r="K163" t="str">
        <f>TEXT(Table13[[#This Row],[Order_Date]],"mmm-yyyy")</f>
        <v>Nov-2023</v>
      </c>
    </row>
    <row r="164" spans="1:11" x14ac:dyDescent="0.3">
      <c r="A164" t="s">
        <v>1335</v>
      </c>
      <c r="B164" s="1">
        <v>45528</v>
      </c>
      <c r="C164" t="s">
        <v>335</v>
      </c>
      <c r="D164" t="s">
        <v>995</v>
      </c>
      <c r="E164">
        <v>79.599999999999994</v>
      </c>
      <c r="F164">
        <v>5</v>
      </c>
      <c r="G164">
        <v>2</v>
      </c>
      <c r="H164">
        <v>0</v>
      </c>
      <c r="I164" t="str">
        <f>VLOOKUP(C164,Table1[#All],3,FALSE)</f>
        <v>Africa</v>
      </c>
      <c r="J164" t="str">
        <f>VLOOKUP(C164,Table1[#All],4,FALSE)</f>
        <v>Home Office</v>
      </c>
      <c r="K164" t="str">
        <f>TEXT(Table13[[#This Row],[Order_Date]],"mmm-yyyy")</f>
        <v>Aug-2024</v>
      </c>
    </row>
    <row r="165" spans="1:11" x14ac:dyDescent="0.3">
      <c r="A165" t="s">
        <v>1334</v>
      </c>
      <c r="B165" s="1">
        <v>45345</v>
      </c>
      <c r="C165" t="s">
        <v>337</v>
      </c>
      <c r="D165" t="s">
        <v>997</v>
      </c>
      <c r="E165">
        <v>1634.992</v>
      </c>
      <c r="F165">
        <v>16</v>
      </c>
      <c r="G165">
        <v>-111</v>
      </c>
      <c r="H165">
        <v>0.15</v>
      </c>
      <c r="I165" t="str">
        <f>VLOOKUP(C165,Table1[#All],3,FALSE)</f>
        <v>South America</v>
      </c>
      <c r="J165" t="str">
        <f>VLOOKUP(C165,Table1[#All],4,FALSE)</f>
        <v>Corporate</v>
      </c>
      <c r="K165" t="str">
        <f>TEXT(Table13[[#This Row],[Order_Date]],"mmm-yyyy")</f>
        <v>Feb-2024</v>
      </c>
    </row>
    <row r="166" spans="1:11" x14ac:dyDescent="0.3">
      <c r="A166" t="s">
        <v>1333</v>
      </c>
      <c r="B166" s="1">
        <v>45321</v>
      </c>
      <c r="C166" t="s">
        <v>339</v>
      </c>
      <c r="D166" t="s">
        <v>997</v>
      </c>
      <c r="E166">
        <v>1241.46</v>
      </c>
      <c r="F166">
        <v>11</v>
      </c>
      <c r="G166">
        <v>371</v>
      </c>
      <c r="H166">
        <v>0.05</v>
      </c>
      <c r="I166" t="str">
        <f>VLOOKUP(C166,Table1[#All],3,FALSE)</f>
        <v>North America</v>
      </c>
      <c r="J166" t="str">
        <f>VLOOKUP(C166,Table1[#All],4,FALSE)</f>
        <v>Home Office</v>
      </c>
      <c r="K166" t="str">
        <f>TEXT(Table13[[#This Row],[Order_Date]],"mmm-yyyy")</f>
        <v>Jan-2024</v>
      </c>
    </row>
    <row r="167" spans="1:11" x14ac:dyDescent="0.3">
      <c r="A167" t="s">
        <v>1332</v>
      </c>
      <c r="B167" s="1">
        <v>45314</v>
      </c>
      <c r="C167" t="s">
        <v>341</v>
      </c>
      <c r="D167" t="s">
        <v>997</v>
      </c>
      <c r="E167">
        <v>832.05</v>
      </c>
      <c r="F167">
        <v>10</v>
      </c>
      <c r="G167">
        <v>-73</v>
      </c>
      <c r="H167">
        <v>0.1</v>
      </c>
      <c r="I167" t="str">
        <f>VLOOKUP(C167,Table1[#All],3,FALSE)</f>
        <v>Asia</v>
      </c>
      <c r="J167" t="str">
        <f>VLOOKUP(C167,Table1[#All],4,FALSE)</f>
        <v>Consumer</v>
      </c>
      <c r="K167" t="str">
        <f>TEXT(Table13[[#This Row],[Order_Date]],"mmm-yyyy")</f>
        <v>Jan-2024</v>
      </c>
    </row>
    <row r="168" spans="1:11" x14ac:dyDescent="0.3">
      <c r="A168" t="s">
        <v>1331</v>
      </c>
      <c r="B168" s="1">
        <v>45047</v>
      </c>
      <c r="C168" t="s">
        <v>343</v>
      </c>
      <c r="D168" t="s">
        <v>1000</v>
      </c>
      <c r="E168">
        <v>8806.69</v>
      </c>
      <c r="F168">
        <v>19</v>
      </c>
      <c r="G168">
        <v>-82</v>
      </c>
      <c r="H168">
        <v>0</v>
      </c>
      <c r="I168" t="str">
        <f>VLOOKUP(C168,Table1[#All],3,FALSE)</f>
        <v>North America</v>
      </c>
      <c r="J168" t="str">
        <f>VLOOKUP(C168,Table1[#All],4,FALSE)</f>
        <v>Corporate</v>
      </c>
      <c r="K168" t="str">
        <f>TEXT(Table13[[#This Row],[Order_Date]],"mmm-yyyy")</f>
        <v>May-2023</v>
      </c>
    </row>
    <row r="169" spans="1:11" x14ac:dyDescent="0.3">
      <c r="A169" t="s">
        <v>1330</v>
      </c>
      <c r="B169" s="1">
        <v>45281</v>
      </c>
      <c r="C169" t="s">
        <v>345</v>
      </c>
      <c r="D169" t="s">
        <v>1000</v>
      </c>
      <c r="E169">
        <v>1893.2550000000001</v>
      </c>
      <c r="F169">
        <v>7</v>
      </c>
      <c r="G169">
        <v>-152</v>
      </c>
      <c r="H169">
        <v>0.05</v>
      </c>
      <c r="I169" t="str">
        <f>VLOOKUP(C169,Table1[#All],3,FALSE)</f>
        <v>North America</v>
      </c>
      <c r="J169" t="str">
        <f>VLOOKUP(C169,Table1[#All],4,FALSE)</f>
        <v>Corporate</v>
      </c>
      <c r="K169" t="str">
        <f>TEXT(Table13[[#This Row],[Order_Date]],"mmm-yyyy")</f>
        <v>Dec-2023</v>
      </c>
    </row>
    <row r="170" spans="1:11" x14ac:dyDescent="0.3">
      <c r="A170" t="s">
        <v>1329</v>
      </c>
      <c r="B170" s="1">
        <v>45071</v>
      </c>
      <c r="C170" t="s">
        <v>347</v>
      </c>
      <c r="D170" t="s">
        <v>995</v>
      </c>
      <c r="E170">
        <v>6521.75</v>
      </c>
      <c r="F170">
        <v>20</v>
      </c>
      <c r="G170">
        <v>9</v>
      </c>
      <c r="H170">
        <v>0.05</v>
      </c>
      <c r="I170" t="str">
        <f>VLOOKUP(C170,Table1[#All],3,FALSE)</f>
        <v>Europe</v>
      </c>
      <c r="J170" t="str">
        <f>VLOOKUP(C170,Table1[#All],4,FALSE)</f>
        <v>Corporate</v>
      </c>
      <c r="K170" t="str">
        <f>TEXT(Table13[[#This Row],[Order_Date]],"mmm-yyyy")</f>
        <v>May-2023</v>
      </c>
    </row>
    <row r="171" spans="1:11" x14ac:dyDescent="0.3">
      <c r="A171" t="s">
        <v>1328</v>
      </c>
      <c r="B171" s="1">
        <v>45838</v>
      </c>
      <c r="C171" t="s">
        <v>349</v>
      </c>
      <c r="D171" t="s">
        <v>997</v>
      </c>
      <c r="E171">
        <v>485.72399999999999</v>
      </c>
      <c r="F171">
        <v>6</v>
      </c>
      <c r="G171">
        <v>371</v>
      </c>
      <c r="H171">
        <v>0.15</v>
      </c>
      <c r="I171" t="str">
        <f>VLOOKUP(C171,Table1[#All],3,FALSE)</f>
        <v>Africa</v>
      </c>
      <c r="J171" t="str">
        <f>VLOOKUP(C171,Table1[#All],4,FALSE)</f>
        <v>Consumer</v>
      </c>
      <c r="K171" t="str">
        <f>TEXT(Table13[[#This Row],[Order_Date]],"mmm-yyyy")</f>
        <v>Jun-2025</v>
      </c>
    </row>
    <row r="172" spans="1:11" x14ac:dyDescent="0.3">
      <c r="A172" t="s">
        <v>1327</v>
      </c>
      <c r="B172" s="1">
        <v>45993</v>
      </c>
      <c r="C172" t="s">
        <v>351</v>
      </c>
      <c r="D172" t="s">
        <v>1000</v>
      </c>
      <c r="E172">
        <v>1294.28</v>
      </c>
      <c r="F172">
        <v>13</v>
      </c>
      <c r="G172">
        <v>198</v>
      </c>
      <c r="H172">
        <v>0.05</v>
      </c>
      <c r="I172" t="str">
        <f>VLOOKUP(C172,Table1[#All],3,FALSE)</f>
        <v>Europe</v>
      </c>
      <c r="J172" t="str">
        <f>VLOOKUP(C172,Table1[#All],4,FALSE)</f>
        <v>Home Office</v>
      </c>
      <c r="K172" t="str">
        <f>TEXT(Table13[[#This Row],[Order_Date]],"mmm-yyyy")</f>
        <v>Dec-2025</v>
      </c>
    </row>
    <row r="173" spans="1:11" x14ac:dyDescent="0.3">
      <c r="A173" t="s">
        <v>1326</v>
      </c>
      <c r="B173" s="1">
        <v>45352</v>
      </c>
      <c r="C173" t="s">
        <v>353</v>
      </c>
      <c r="D173" t="s">
        <v>995</v>
      </c>
      <c r="E173">
        <v>1774.548</v>
      </c>
      <c r="F173">
        <v>12</v>
      </c>
      <c r="G173">
        <v>107</v>
      </c>
      <c r="H173">
        <v>0.1</v>
      </c>
      <c r="I173" t="str">
        <f>VLOOKUP(C173,Table1[#All],3,FALSE)</f>
        <v>Europe</v>
      </c>
      <c r="J173" t="str">
        <f>VLOOKUP(C173,Table1[#All],4,FALSE)</f>
        <v>Consumer</v>
      </c>
      <c r="K173" t="str">
        <f>TEXT(Table13[[#This Row],[Order_Date]],"mmm-yyyy")</f>
        <v>Mar-2024</v>
      </c>
    </row>
    <row r="174" spans="1:11" x14ac:dyDescent="0.3">
      <c r="A174" t="s">
        <v>1325</v>
      </c>
      <c r="B174" s="1">
        <v>44987</v>
      </c>
      <c r="C174" t="s">
        <v>355</v>
      </c>
      <c r="D174" t="s">
        <v>995</v>
      </c>
      <c r="E174">
        <v>2926.62</v>
      </c>
      <c r="F174">
        <v>10</v>
      </c>
      <c r="G174">
        <v>91</v>
      </c>
      <c r="H174">
        <v>0.1</v>
      </c>
      <c r="I174" t="str">
        <f>VLOOKUP(C174,Table1[#All],3,FALSE)</f>
        <v>South America</v>
      </c>
      <c r="J174" t="str">
        <f>VLOOKUP(C174,Table1[#All],4,FALSE)</f>
        <v>Corporate</v>
      </c>
      <c r="K174" t="str">
        <f>TEXT(Table13[[#This Row],[Order_Date]],"mmm-yyyy")</f>
        <v>Mar-2023</v>
      </c>
    </row>
    <row r="175" spans="1:11" x14ac:dyDescent="0.3">
      <c r="A175" t="s">
        <v>1324</v>
      </c>
      <c r="B175" s="1">
        <v>45294</v>
      </c>
      <c r="C175" t="s">
        <v>357</v>
      </c>
      <c r="D175" t="s">
        <v>995</v>
      </c>
      <c r="E175">
        <v>9227.94</v>
      </c>
      <c r="F175">
        <v>17</v>
      </c>
      <c r="G175">
        <v>3</v>
      </c>
      <c r="H175">
        <v>0</v>
      </c>
      <c r="I175" t="str">
        <f>VLOOKUP(C175,Table1[#All],3,FALSE)</f>
        <v>Asia</v>
      </c>
      <c r="J175" t="str">
        <f>VLOOKUP(C175,Table1[#All],4,FALSE)</f>
        <v>Corporate</v>
      </c>
      <c r="K175" t="str">
        <f>TEXT(Table13[[#This Row],[Order_Date]],"mmm-yyyy")</f>
        <v>Jan-2024</v>
      </c>
    </row>
    <row r="176" spans="1:11" x14ac:dyDescent="0.3">
      <c r="A176" t="s">
        <v>1323</v>
      </c>
      <c r="B176" s="1">
        <v>45070</v>
      </c>
      <c r="C176" t="s">
        <v>359</v>
      </c>
      <c r="D176" t="s">
        <v>995</v>
      </c>
      <c r="E176">
        <v>2759.4839999999999</v>
      </c>
      <c r="F176">
        <v>14</v>
      </c>
      <c r="G176">
        <v>204</v>
      </c>
      <c r="H176">
        <v>0.05</v>
      </c>
      <c r="I176" t="str">
        <f>VLOOKUP(C176,Table1[#All],3,FALSE)</f>
        <v>North America</v>
      </c>
      <c r="J176" t="str">
        <f>VLOOKUP(C176,Table1[#All],4,FALSE)</f>
        <v>Corporate</v>
      </c>
      <c r="K176" t="str">
        <f>TEXT(Table13[[#This Row],[Order_Date]],"mmm-yyyy")</f>
        <v>May-2023</v>
      </c>
    </row>
    <row r="177" spans="1:11" x14ac:dyDescent="0.3">
      <c r="A177" t="s">
        <v>1322</v>
      </c>
      <c r="B177" s="1">
        <v>45830</v>
      </c>
      <c r="C177" t="s">
        <v>361</v>
      </c>
      <c r="D177" t="s">
        <v>995</v>
      </c>
      <c r="E177">
        <v>8525.2620000000006</v>
      </c>
      <c r="F177">
        <v>17</v>
      </c>
      <c r="G177">
        <v>9</v>
      </c>
      <c r="H177">
        <v>0.05</v>
      </c>
      <c r="I177" t="str">
        <f>VLOOKUP(C177,Table1[#All],3,FALSE)</f>
        <v>North America</v>
      </c>
      <c r="J177" t="str">
        <f>VLOOKUP(C177,Table1[#All],4,FALSE)</f>
        <v>Consumer</v>
      </c>
      <c r="K177" t="str">
        <f>TEXT(Table13[[#This Row],[Order_Date]],"mmm-yyyy")</f>
        <v>Jun-2025</v>
      </c>
    </row>
    <row r="178" spans="1:11" x14ac:dyDescent="0.3">
      <c r="A178" t="s">
        <v>1321</v>
      </c>
      <c r="B178" s="1">
        <v>45203</v>
      </c>
      <c r="C178" t="s">
        <v>363</v>
      </c>
      <c r="D178" t="s">
        <v>1000</v>
      </c>
      <c r="E178">
        <v>744.14449999999999</v>
      </c>
      <c r="F178">
        <v>11</v>
      </c>
      <c r="G178">
        <v>392</v>
      </c>
      <c r="H178">
        <v>0.05</v>
      </c>
      <c r="I178" t="str">
        <f>VLOOKUP(C178,Table1[#All],3,FALSE)</f>
        <v>North America</v>
      </c>
      <c r="J178" t="str">
        <f>VLOOKUP(C178,Table1[#All],4,FALSE)</f>
        <v>Consumer</v>
      </c>
      <c r="K178" t="str">
        <f>TEXT(Table13[[#This Row],[Order_Date]],"mmm-yyyy")</f>
        <v>Oct-2023</v>
      </c>
    </row>
    <row r="179" spans="1:11" x14ac:dyDescent="0.3">
      <c r="A179" t="s">
        <v>1320</v>
      </c>
      <c r="B179" s="1">
        <v>45750</v>
      </c>
      <c r="C179" t="s">
        <v>365</v>
      </c>
      <c r="D179" t="s">
        <v>1000</v>
      </c>
      <c r="E179">
        <v>3888.56</v>
      </c>
      <c r="F179">
        <v>8</v>
      </c>
      <c r="G179">
        <v>116</v>
      </c>
      <c r="H179">
        <v>0</v>
      </c>
      <c r="I179" t="str">
        <f>VLOOKUP(C179,Table1[#All],3,FALSE)</f>
        <v>Africa</v>
      </c>
      <c r="J179" t="str">
        <f>VLOOKUP(C179,Table1[#All],4,FALSE)</f>
        <v>Home Office</v>
      </c>
      <c r="K179" t="str">
        <f>TEXT(Table13[[#This Row],[Order_Date]],"mmm-yyyy")</f>
        <v>Apr-2025</v>
      </c>
    </row>
    <row r="180" spans="1:11" x14ac:dyDescent="0.3">
      <c r="A180" t="s">
        <v>1319</v>
      </c>
      <c r="B180" s="1">
        <v>45603</v>
      </c>
      <c r="C180" t="s">
        <v>367</v>
      </c>
      <c r="D180" t="s">
        <v>997</v>
      </c>
      <c r="E180">
        <v>2997.1619999999998</v>
      </c>
      <c r="F180">
        <v>6</v>
      </c>
      <c r="G180">
        <v>84</v>
      </c>
      <c r="H180">
        <v>0.1</v>
      </c>
      <c r="I180" t="str">
        <f>VLOOKUP(C180,Table1[#All],3,FALSE)</f>
        <v>Asia</v>
      </c>
      <c r="J180" t="str">
        <f>VLOOKUP(C180,Table1[#All],4,FALSE)</f>
        <v>Consumer</v>
      </c>
      <c r="K180" t="str">
        <f>TEXT(Table13[[#This Row],[Order_Date]],"mmm-yyyy")</f>
        <v>Nov-2024</v>
      </c>
    </row>
    <row r="181" spans="1:11" x14ac:dyDescent="0.3">
      <c r="A181" t="s">
        <v>1318</v>
      </c>
      <c r="B181" s="1">
        <v>45521</v>
      </c>
      <c r="C181" t="s">
        <v>369</v>
      </c>
      <c r="D181" t="s">
        <v>997</v>
      </c>
      <c r="E181">
        <v>5474.04</v>
      </c>
      <c r="F181">
        <v>13</v>
      </c>
      <c r="G181">
        <v>213</v>
      </c>
      <c r="H181">
        <v>0</v>
      </c>
      <c r="I181" t="str">
        <f>VLOOKUP(C181,Table1[#All],3,FALSE)</f>
        <v>Asia</v>
      </c>
      <c r="J181" t="str">
        <f>VLOOKUP(C181,Table1[#All],4,FALSE)</f>
        <v>Consumer</v>
      </c>
      <c r="K181" t="str">
        <f>TEXT(Table13[[#This Row],[Order_Date]],"mmm-yyyy")</f>
        <v>Aug-2024</v>
      </c>
    </row>
    <row r="182" spans="1:11" x14ac:dyDescent="0.3">
      <c r="A182" t="s">
        <v>1317</v>
      </c>
      <c r="B182" s="1">
        <v>45838</v>
      </c>
      <c r="C182" t="s">
        <v>371</v>
      </c>
      <c r="D182" t="s">
        <v>995</v>
      </c>
      <c r="E182">
        <v>1096.848</v>
      </c>
      <c r="F182">
        <v>16</v>
      </c>
      <c r="G182">
        <v>12</v>
      </c>
      <c r="H182">
        <v>0.1</v>
      </c>
      <c r="I182" t="str">
        <f>VLOOKUP(C182,Table1[#All],3,FALSE)</f>
        <v>North America</v>
      </c>
      <c r="J182" t="str">
        <f>VLOOKUP(C182,Table1[#All],4,FALSE)</f>
        <v>Home Office</v>
      </c>
      <c r="K182" t="str">
        <f>TEXT(Table13[[#This Row],[Order_Date]],"mmm-yyyy")</f>
        <v>Jun-2025</v>
      </c>
    </row>
    <row r="183" spans="1:11" x14ac:dyDescent="0.3">
      <c r="A183" t="s">
        <v>1316</v>
      </c>
      <c r="B183" s="1">
        <v>45454</v>
      </c>
      <c r="C183" t="s">
        <v>373</v>
      </c>
      <c r="D183" t="s">
        <v>995</v>
      </c>
      <c r="E183">
        <v>1359.585</v>
      </c>
      <c r="F183">
        <v>3</v>
      </c>
      <c r="G183">
        <v>11</v>
      </c>
      <c r="H183">
        <v>0.1</v>
      </c>
      <c r="I183" t="str">
        <f>VLOOKUP(C183,Table1[#All],3,FALSE)</f>
        <v>South America</v>
      </c>
      <c r="J183" t="str">
        <f>VLOOKUP(C183,Table1[#All],4,FALSE)</f>
        <v>Corporate</v>
      </c>
      <c r="K183" t="str">
        <f>TEXT(Table13[[#This Row],[Order_Date]],"mmm-yyyy")</f>
        <v>Jun-2024</v>
      </c>
    </row>
    <row r="184" spans="1:11" x14ac:dyDescent="0.3">
      <c r="A184" t="s">
        <v>1315</v>
      </c>
      <c r="B184" s="1">
        <v>45661</v>
      </c>
      <c r="C184" t="s">
        <v>375</v>
      </c>
      <c r="D184" t="s">
        <v>995</v>
      </c>
      <c r="E184">
        <v>157.80000000000001</v>
      </c>
      <c r="F184">
        <v>5</v>
      </c>
      <c r="G184">
        <v>12</v>
      </c>
      <c r="H184">
        <v>0</v>
      </c>
      <c r="I184" t="str">
        <f>VLOOKUP(C184,Table1[#All],3,FALSE)</f>
        <v>Asia</v>
      </c>
      <c r="J184" t="str">
        <f>VLOOKUP(C184,Table1[#All],4,FALSE)</f>
        <v>Home Office</v>
      </c>
      <c r="K184" t="str">
        <f>TEXT(Table13[[#This Row],[Order_Date]],"mmm-yyyy")</f>
        <v>Jan-2025</v>
      </c>
    </row>
    <row r="185" spans="1:11" x14ac:dyDescent="0.3">
      <c r="A185" t="s">
        <v>1314</v>
      </c>
      <c r="B185" s="1">
        <v>45298</v>
      </c>
      <c r="C185" t="s">
        <v>377</v>
      </c>
      <c r="D185" t="s">
        <v>995</v>
      </c>
      <c r="E185">
        <v>1108.384</v>
      </c>
      <c r="F185">
        <v>16</v>
      </c>
      <c r="G185">
        <v>-79</v>
      </c>
      <c r="H185">
        <v>0.05</v>
      </c>
      <c r="I185" t="str">
        <f>VLOOKUP(C185,Table1[#All],3,FALSE)</f>
        <v>Europe</v>
      </c>
      <c r="J185" t="str">
        <f>VLOOKUP(C185,Table1[#All],4,FALSE)</f>
        <v>Corporate</v>
      </c>
      <c r="K185" t="str">
        <f>TEXT(Table13[[#This Row],[Order_Date]],"mmm-yyyy")</f>
        <v>Jan-2024</v>
      </c>
    </row>
    <row r="186" spans="1:11" x14ac:dyDescent="0.3">
      <c r="A186" t="s">
        <v>1313</v>
      </c>
      <c r="B186" s="1">
        <v>45181</v>
      </c>
      <c r="C186" t="s">
        <v>379</v>
      </c>
      <c r="D186" t="s">
        <v>997</v>
      </c>
      <c r="E186">
        <v>7215.0029999999997</v>
      </c>
      <c r="F186">
        <v>18</v>
      </c>
      <c r="G186">
        <v>29</v>
      </c>
      <c r="H186">
        <v>0.05</v>
      </c>
      <c r="I186" t="str">
        <f>VLOOKUP(C186,Table1[#All],3,FALSE)</f>
        <v>Europe</v>
      </c>
      <c r="J186" t="str">
        <f>VLOOKUP(C186,Table1[#All],4,FALSE)</f>
        <v>Corporate</v>
      </c>
      <c r="K186" t="str">
        <f>TEXT(Table13[[#This Row],[Order_Date]],"mmm-yyyy")</f>
        <v>Sep-2023</v>
      </c>
    </row>
    <row r="187" spans="1:11" x14ac:dyDescent="0.3">
      <c r="A187" t="s">
        <v>1312</v>
      </c>
      <c r="B187" s="1">
        <v>45104</v>
      </c>
      <c r="C187" t="s">
        <v>381</v>
      </c>
      <c r="D187" t="s">
        <v>995</v>
      </c>
      <c r="E187">
        <v>6458.5349999999999</v>
      </c>
      <c r="F187">
        <v>15</v>
      </c>
      <c r="G187">
        <v>-11</v>
      </c>
      <c r="H187">
        <v>0.1</v>
      </c>
      <c r="I187" t="str">
        <f>VLOOKUP(C187,Table1[#All],3,FALSE)</f>
        <v>North America</v>
      </c>
      <c r="J187" t="str">
        <f>VLOOKUP(C187,Table1[#All],4,FALSE)</f>
        <v>Home Office</v>
      </c>
      <c r="K187" t="str">
        <f>TEXT(Table13[[#This Row],[Order_Date]],"mmm-yyyy")</f>
        <v>Jun-2023</v>
      </c>
    </row>
    <row r="188" spans="1:11" x14ac:dyDescent="0.3">
      <c r="A188" t="s">
        <v>1311</v>
      </c>
      <c r="B188" s="1">
        <v>45121</v>
      </c>
      <c r="C188" t="s">
        <v>383</v>
      </c>
      <c r="D188" t="s">
        <v>997</v>
      </c>
      <c r="E188">
        <v>4515.66</v>
      </c>
      <c r="F188">
        <v>9</v>
      </c>
      <c r="G188">
        <v>151</v>
      </c>
      <c r="H188">
        <v>0</v>
      </c>
      <c r="I188" t="str">
        <f>VLOOKUP(C188,Table1[#All],3,FALSE)</f>
        <v>South America</v>
      </c>
      <c r="J188" t="str">
        <f>VLOOKUP(C188,Table1[#All],4,FALSE)</f>
        <v>Home Office</v>
      </c>
      <c r="K188" t="str">
        <f>TEXT(Table13[[#This Row],[Order_Date]],"mmm-yyyy")</f>
        <v>Jul-2023</v>
      </c>
    </row>
    <row r="189" spans="1:11" x14ac:dyDescent="0.3">
      <c r="A189" t="s">
        <v>1310</v>
      </c>
      <c r="B189" s="1">
        <v>45140</v>
      </c>
      <c r="C189" t="s">
        <v>385</v>
      </c>
      <c r="D189" t="s">
        <v>995</v>
      </c>
      <c r="E189">
        <v>1472.8035</v>
      </c>
      <c r="F189">
        <v>7</v>
      </c>
      <c r="G189">
        <v>8</v>
      </c>
      <c r="H189">
        <v>0.15</v>
      </c>
      <c r="I189" t="str">
        <f>VLOOKUP(C189,Table1[#All],3,FALSE)</f>
        <v>South America</v>
      </c>
      <c r="J189" t="str">
        <f>VLOOKUP(C189,Table1[#All],4,FALSE)</f>
        <v>Consumer</v>
      </c>
      <c r="K189" t="str">
        <f>TEXT(Table13[[#This Row],[Order_Date]],"mmm-yyyy")</f>
        <v>Aug-2023</v>
      </c>
    </row>
    <row r="190" spans="1:11" x14ac:dyDescent="0.3">
      <c r="A190" t="s">
        <v>1309</v>
      </c>
      <c r="B190" s="1">
        <v>45471</v>
      </c>
      <c r="C190" t="s">
        <v>387</v>
      </c>
      <c r="D190" t="s">
        <v>995</v>
      </c>
      <c r="E190">
        <v>900.20100000000002</v>
      </c>
      <c r="F190">
        <v>6</v>
      </c>
      <c r="G190">
        <v>3</v>
      </c>
      <c r="H190">
        <v>0.15</v>
      </c>
      <c r="I190" t="str">
        <f>VLOOKUP(C190,Table1[#All],3,FALSE)</f>
        <v>Europe</v>
      </c>
      <c r="J190" t="str">
        <f>VLOOKUP(C190,Table1[#All],4,FALSE)</f>
        <v>Home Office</v>
      </c>
      <c r="K190" t="str">
        <f>TEXT(Table13[[#This Row],[Order_Date]],"mmm-yyyy")</f>
        <v>Jun-2024</v>
      </c>
    </row>
    <row r="191" spans="1:11" x14ac:dyDescent="0.3">
      <c r="A191" t="s">
        <v>1308</v>
      </c>
      <c r="B191" s="1">
        <v>45397</v>
      </c>
      <c r="C191" t="s">
        <v>389</v>
      </c>
      <c r="D191" t="s">
        <v>995</v>
      </c>
      <c r="E191">
        <v>286.86</v>
      </c>
      <c r="F191">
        <v>2</v>
      </c>
      <c r="G191">
        <v>0</v>
      </c>
      <c r="H191">
        <v>0</v>
      </c>
      <c r="I191" t="str">
        <f>VLOOKUP(C191,Table1[#All],3,FALSE)</f>
        <v>Europe</v>
      </c>
      <c r="J191" t="str">
        <f>VLOOKUP(C191,Table1[#All],4,FALSE)</f>
        <v>Home Office</v>
      </c>
      <c r="K191" t="str">
        <f>TEXT(Table13[[#This Row],[Order_Date]],"mmm-yyyy")</f>
        <v>Apr-2024</v>
      </c>
    </row>
    <row r="192" spans="1:11" x14ac:dyDescent="0.3">
      <c r="A192" t="s">
        <v>1307</v>
      </c>
      <c r="B192" s="1">
        <v>45257</v>
      </c>
      <c r="C192" t="s">
        <v>391</v>
      </c>
      <c r="D192" t="s">
        <v>997</v>
      </c>
      <c r="E192">
        <v>6138.9</v>
      </c>
      <c r="F192">
        <v>12</v>
      </c>
      <c r="G192">
        <v>114</v>
      </c>
      <c r="H192">
        <v>0.05</v>
      </c>
      <c r="I192" t="str">
        <f>VLOOKUP(C192,Table1[#All],3,FALSE)</f>
        <v>Asia</v>
      </c>
      <c r="J192" t="str">
        <f>VLOOKUP(C192,Table1[#All],4,FALSE)</f>
        <v>Corporate</v>
      </c>
      <c r="K192" t="str">
        <f>TEXT(Table13[[#This Row],[Order_Date]],"mmm-yyyy")</f>
        <v>Nov-2023</v>
      </c>
    </row>
    <row r="193" spans="1:11" x14ac:dyDescent="0.3">
      <c r="A193" t="s">
        <v>1306</v>
      </c>
      <c r="B193" s="1">
        <v>45743</v>
      </c>
      <c r="C193" t="s">
        <v>393</v>
      </c>
      <c r="D193" t="s">
        <v>995</v>
      </c>
      <c r="E193">
        <v>435.85</v>
      </c>
      <c r="F193">
        <v>5</v>
      </c>
      <c r="G193">
        <v>11</v>
      </c>
      <c r="H193">
        <v>0</v>
      </c>
      <c r="I193" t="str">
        <f>VLOOKUP(C193,Table1[#All],3,FALSE)</f>
        <v>Asia</v>
      </c>
      <c r="J193" t="str">
        <f>VLOOKUP(C193,Table1[#All],4,FALSE)</f>
        <v>Corporate</v>
      </c>
      <c r="K193" t="str">
        <f>TEXT(Table13[[#This Row],[Order_Date]],"mmm-yyyy")</f>
        <v>Mar-2025</v>
      </c>
    </row>
    <row r="194" spans="1:11" x14ac:dyDescent="0.3">
      <c r="A194" t="s">
        <v>1305</v>
      </c>
      <c r="B194" s="1">
        <v>45085</v>
      </c>
      <c r="C194" t="s">
        <v>395</v>
      </c>
      <c r="D194" t="s">
        <v>997</v>
      </c>
      <c r="E194">
        <v>3139.4160000000002</v>
      </c>
      <c r="F194">
        <v>7</v>
      </c>
      <c r="G194">
        <v>-31</v>
      </c>
      <c r="H194">
        <v>0.1</v>
      </c>
      <c r="I194" t="str">
        <f>VLOOKUP(C194,Table1[#All],3,FALSE)</f>
        <v>South America</v>
      </c>
      <c r="J194" t="str">
        <f>VLOOKUP(C194,Table1[#All],4,FALSE)</f>
        <v>Corporate</v>
      </c>
      <c r="K194" t="str">
        <f>TEXT(Table13[[#This Row],[Order_Date]],"mmm-yyyy")</f>
        <v>Jun-2023</v>
      </c>
    </row>
    <row r="195" spans="1:11" x14ac:dyDescent="0.3">
      <c r="A195" t="s">
        <v>1304</v>
      </c>
      <c r="B195" s="1">
        <v>45639</v>
      </c>
      <c r="C195" t="s">
        <v>397</v>
      </c>
      <c r="D195" t="s">
        <v>995</v>
      </c>
      <c r="E195">
        <v>728.53499999999997</v>
      </c>
      <c r="F195">
        <v>15</v>
      </c>
      <c r="G195">
        <v>0</v>
      </c>
      <c r="H195">
        <v>0.15</v>
      </c>
      <c r="I195" t="str">
        <f>VLOOKUP(C195,Table1[#All],3,FALSE)</f>
        <v>South America</v>
      </c>
      <c r="J195" t="str">
        <f>VLOOKUP(C195,Table1[#All],4,FALSE)</f>
        <v>Home Office</v>
      </c>
      <c r="K195" t="str">
        <f>TEXT(Table13[[#This Row],[Order_Date]],"mmm-yyyy")</f>
        <v>Dec-2024</v>
      </c>
    </row>
    <row r="196" spans="1:11" x14ac:dyDescent="0.3">
      <c r="A196" t="s">
        <v>1303</v>
      </c>
      <c r="B196" s="1">
        <v>45674</v>
      </c>
      <c r="C196" t="s">
        <v>399</v>
      </c>
      <c r="D196" t="s">
        <v>995</v>
      </c>
      <c r="E196">
        <v>1899.954</v>
      </c>
      <c r="F196">
        <v>18</v>
      </c>
      <c r="G196">
        <v>8</v>
      </c>
      <c r="H196">
        <v>0.15</v>
      </c>
      <c r="I196" t="str">
        <f>VLOOKUP(C196,Table1[#All],3,FALSE)</f>
        <v>Africa</v>
      </c>
      <c r="J196" t="str">
        <f>VLOOKUP(C196,Table1[#All],4,FALSE)</f>
        <v>Corporate</v>
      </c>
      <c r="K196" t="str">
        <f>TEXT(Table13[[#This Row],[Order_Date]],"mmm-yyyy")</f>
        <v>Jan-2025</v>
      </c>
    </row>
    <row r="197" spans="1:11" x14ac:dyDescent="0.3">
      <c r="A197" t="s">
        <v>1302</v>
      </c>
      <c r="B197" s="1">
        <v>45256</v>
      </c>
      <c r="C197" t="s">
        <v>401</v>
      </c>
      <c r="D197" t="s">
        <v>1000</v>
      </c>
      <c r="E197">
        <v>1160.46</v>
      </c>
      <c r="F197">
        <v>12</v>
      </c>
      <c r="G197">
        <v>0</v>
      </c>
      <c r="H197">
        <v>0.1</v>
      </c>
      <c r="I197" t="str">
        <f>VLOOKUP(C197,Table1[#All],3,FALSE)</f>
        <v>Europe</v>
      </c>
      <c r="J197" t="str">
        <f>VLOOKUP(C197,Table1[#All],4,FALSE)</f>
        <v>Corporate</v>
      </c>
      <c r="K197" t="str">
        <f>TEXT(Table13[[#This Row],[Order_Date]],"mmm-yyyy")</f>
        <v>Nov-2023</v>
      </c>
    </row>
    <row r="198" spans="1:11" x14ac:dyDescent="0.3">
      <c r="A198" t="s">
        <v>1301</v>
      </c>
      <c r="B198" s="1">
        <v>44971</v>
      </c>
      <c r="C198" t="s">
        <v>403</v>
      </c>
      <c r="D198" t="s">
        <v>995</v>
      </c>
      <c r="E198">
        <v>2961.0720000000001</v>
      </c>
      <c r="F198">
        <v>8</v>
      </c>
      <c r="G198">
        <v>11</v>
      </c>
      <c r="H198">
        <v>0.1</v>
      </c>
      <c r="I198" t="str">
        <f>VLOOKUP(C198,Table1[#All],3,FALSE)</f>
        <v>Asia</v>
      </c>
      <c r="J198" t="str">
        <f>VLOOKUP(C198,Table1[#All],4,FALSE)</f>
        <v>Corporate</v>
      </c>
      <c r="K198" t="str">
        <f>TEXT(Table13[[#This Row],[Order_Date]],"mmm-yyyy")</f>
        <v>Feb-2023</v>
      </c>
    </row>
    <row r="199" spans="1:11" x14ac:dyDescent="0.3">
      <c r="A199" t="s">
        <v>1300</v>
      </c>
      <c r="B199" s="1">
        <v>45690</v>
      </c>
      <c r="C199" t="s">
        <v>405</v>
      </c>
      <c r="D199" t="s">
        <v>995</v>
      </c>
      <c r="E199">
        <v>1736.7</v>
      </c>
      <c r="F199">
        <v>7</v>
      </c>
      <c r="G199">
        <v>3</v>
      </c>
      <c r="H199">
        <v>0</v>
      </c>
      <c r="I199" t="str">
        <f>VLOOKUP(C199,Table1[#All],3,FALSE)</f>
        <v>Africa</v>
      </c>
      <c r="J199" t="str">
        <f>VLOOKUP(C199,Table1[#All],4,FALSE)</f>
        <v>Home Office</v>
      </c>
      <c r="K199" t="str">
        <f>TEXT(Table13[[#This Row],[Order_Date]],"mmm-yyyy")</f>
        <v>Feb-2025</v>
      </c>
    </row>
    <row r="200" spans="1:11" x14ac:dyDescent="0.3">
      <c r="A200" t="s">
        <v>1299</v>
      </c>
      <c r="B200" s="1">
        <v>45234</v>
      </c>
      <c r="C200" t="s">
        <v>407</v>
      </c>
      <c r="D200" t="s">
        <v>995</v>
      </c>
      <c r="E200">
        <v>1313.604</v>
      </c>
      <c r="F200">
        <v>3</v>
      </c>
      <c r="G200">
        <v>50</v>
      </c>
      <c r="H200">
        <v>0.1</v>
      </c>
      <c r="I200" t="str">
        <f>VLOOKUP(C200,Table1[#All],3,FALSE)</f>
        <v>Europe</v>
      </c>
      <c r="J200" t="str">
        <f>VLOOKUP(C200,Table1[#All],4,FALSE)</f>
        <v>Consumer</v>
      </c>
      <c r="K200" t="str">
        <f>TEXT(Table13[[#This Row],[Order_Date]],"mmm-yyyy")</f>
        <v>Nov-2023</v>
      </c>
    </row>
    <row r="201" spans="1:11" x14ac:dyDescent="0.3">
      <c r="A201" t="s">
        <v>1298</v>
      </c>
      <c r="B201" s="1">
        <v>45511</v>
      </c>
      <c r="C201" t="s">
        <v>409</v>
      </c>
      <c r="D201" t="s">
        <v>995</v>
      </c>
      <c r="E201">
        <v>6723.6480000000001</v>
      </c>
      <c r="F201">
        <v>18</v>
      </c>
      <c r="G201">
        <v>11</v>
      </c>
      <c r="H201">
        <v>0.1</v>
      </c>
      <c r="I201" t="str">
        <f>VLOOKUP(C201,Table1[#All],3,FALSE)</f>
        <v>North America</v>
      </c>
      <c r="J201" t="str">
        <f>VLOOKUP(C201,Table1[#All],4,FALSE)</f>
        <v>Corporate</v>
      </c>
      <c r="K201" t="str">
        <f>TEXT(Table13[[#This Row],[Order_Date]],"mmm-yyyy")</f>
        <v>Aug-2024</v>
      </c>
    </row>
    <row r="202" spans="1:11" x14ac:dyDescent="0.3">
      <c r="A202" t="s">
        <v>1297</v>
      </c>
      <c r="B202" s="1">
        <v>45140</v>
      </c>
      <c r="C202" t="s">
        <v>411</v>
      </c>
      <c r="D202" t="s">
        <v>995</v>
      </c>
      <c r="E202">
        <v>2670.8870000000002</v>
      </c>
      <c r="F202">
        <v>19</v>
      </c>
      <c r="G202">
        <v>11</v>
      </c>
      <c r="H202">
        <v>0.15</v>
      </c>
      <c r="I202" t="str">
        <f>VLOOKUP(C202,Table1[#All],3,FALSE)</f>
        <v>Africa</v>
      </c>
      <c r="J202" t="str">
        <f>VLOOKUP(C202,Table1[#All],4,FALSE)</f>
        <v>Corporate</v>
      </c>
      <c r="K202" t="str">
        <f>TEXT(Table13[[#This Row],[Order_Date]],"mmm-yyyy")</f>
        <v>Aug-2023</v>
      </c>
    </row>
    <row r="203" spans="1:11" x14ac:dyDescent="0.3">
      <c r="A203" t="s">
        <v>1296</v>
      </c>
      <c r="B203" s="1">
        <v>45539</v>
      </c>
      <c r="C203" t="s">
        <v>413</v>
      </c>
      <c r="D203" t="s">
        <v>995</v>
      </c>
      <c r="E203">
        <v>234.94</v>
      </c>
      <c r="F203">
        <v>2</v>
      </c>
      <c r="G203">
        <v>11</v>
      </c>
      <c r="H203">
        <v>0</v>
      </c>
      <c r="I203" t="str">
        <f>VLOOKUP(C203,Table1[#All],3,FALSE)</f>
        <v>Europe</v>
      </c>
      <c r="J203" t="str">
        <f>VLOOKUP(C203,Table1[#All],4,FALSE)</f>
        <v>Home Office</v>
      </c>
      <c r="K203" t="str">
        <f>TEXT(Table13[[#This Row],[Order_Date]],"mmm-yyyy")</f>
        <v>Sep-2024</v>
      </c>
    </row>
    <row r="204" spans="1:11" x14ac:dyDescent="0.3">
      <c r="A204" t="s">
        <v>1295</v>
      </c>
      <c r="B204" s="1">
        <v>45152</v>
      </c>
      <c r="C204" t="s">
        <v>415</v>
      </c>
      <c r="D204" t="s">
        <v>1000</v>
      </c>
      <c r="E204">
        <v>3532.6934999999999</v>
      </c>
      <c r="F204">
        <v>9</v>
      </c>
      <c r="G204">
        <v>42</v>
      </c>
      <c r="H204">
        <v>0.15</v>
      </c>
      <c r="I204" t="str">
        <f>VLOOKUP(C204,Table1[#All],3,FALSE)</f>
        <v>Africa</v>
      </c>
      <c r="J204" t="str">
        <f>VLOOKUP(C204,Table1[#All],4,FALSE)</f>
        <v>Consumer</v>
      </c>
      <c r="K204" t="str">
        <f>TEXT(Table13[[#This Row],[Order_Date]],"mmm-yyyy")</f>
        <v>Aug-2023</v>
      </c>
    </row>
    <row r="205" spans="1:11" x14ac:dyDescent="0.3">
      <c r="A205" t="s">
        <v>1294</v>
      </c>
      <c r="B205" s="1">
        <v>45331</v>
      </c>
      <c r="C205" t="s">
        <v>417</v>
      </c>
      <c r="D205" t="s">
        <v>995</v>
      </c>
      <c r="E205">
        <v>3767.3960000000002</v>
      </c>
      <c r="F205">
        <v>19</v>
      </c>
      <c r="G205">
        <v>50</v>
      </c>
      <c r="H205">
        <v>0.05</v>
      </c>
      <c r="I205" t="str">
        <f>VLOOKUP(C205,Table1[#All],3,FALSE)</f>
        <v>Europe</v>
      </c>
      <c r="J205" t="str">
        <f>VLOOKUP(C205,Table1[#All],4,FALSE)</f>
        <v>Home Office</v>
      </c>
      <c r="K205" t="str">
        <f>TEXT(Table13[[#This Row],[Order_Date]],"mmm-yyyy")</f>
        <v>Feb-2024</v>
      </c>
    </row>
    <row r="206" spans="1:11" x14ac:dyDescent="0.3">
      <c r="A206" t="s">
        <v>1293</v>
      </c>
      <c r="B206" s="1">
        <v>45837</v>
      </c>
      <c r="C206" t="s">
        <v>419</v>
      </c>
      <c r="D206" t="s">
        <v>995</v>
      </c>
      <c r="E206">
        <v>3782.5680000000002</v>
      </c>
      <c r="F206">
        <v>16</v>
      </c>
      <c r="G206">
        <v>11</v>
      </c>
      <c r="H206">
        <v>0.15</v>
      </c>
      <c r="I206" t="str">
        <f>VLOOKUP(C206,Table1[#All],3,FALSE)</f>
        <v>Africa</v>
      </c>
      <c r="J206" t="str">
        <f>VLOOKUP(C206,Table1[#All],4,FALSE)</f>
        <v>Corporate</v>
      </c>
      <c r="K206" t="str">
        <f>TEXT(Table13[[#This Row],[Order_Date]],"mmm-yyyy")</f>
        <v>Jun-2025</v>
      </c>
    </row>
    <row r="207" spans="1:11" x14ac:dyDescent="0.3">
      <c r="A207" t="s">
        <v>1292</v>
      </c>
      <c r="B207" s="1">
        <v>45692</v>
      </c>
      <c r="C207" t="s">
        <v>421</v>
      </c>
      <c r="D207" t="s">
        <v>997</v>
      </c>
      <c r="E207">
        <v>1102.3610000000001</v>
      </c>
      <c r="F207">
        <v>2</v>
      </c>
      <c r="G207">
        <v>-459</v>
      </c>
      <c r="H207">
        <v>0.05</v>
      </c>
      <c r="I207" t="str">
        <f>VLOOKUP(C207,Table1[#All],3,FALSE)</f>
        <v>Europe</v>
      </c>
      <c r="J207" t="str">
        <f>VLOOKUP(C207,Table1[#All],4,FALSE)</f>
        <v>Home Office</v>
      </c>
      <c r="K207" t="str">
        <f>TEXT(Table13[[#This Row],[Order_Date]],"mmm-yyyy")</f>
        <v>Feb-2025</v>
      </c>
    </row>
    <row r="208" spans="1:11" x14ac:dyDescent="0.3">
      <c r="A208" t="s">
        <v>1291</v>
      </c>
      <c r="B208" s="1">
        <v>45043</v>
      </c>
      <c r="C208" t="s">
        <v>423</v>
      </c>
      <c r="D208" t="s">
        <v>997</v>
      </c>
      <c r="E208">
        <v>4291.4399999999996</v>
      </c>
      <c r="F208">
        <v>8</v>
      </c>
      <c r="G208">
        <v>547</v>
      </c>
      <c r="H208">
        <v>0</v>
      </c>
      <c r="I208" t="str">
        <f>VLOOKUP(C208,Table1[#All],3,FALSE)</f>
        <v>Africa</v>
      </c>
      <c r="J208" t="str">
        <f>VLOOKUP(C208,Table1[#All],4,FALSE)</f>
        <v>Corporate</v>
      </c>
      <c r="K208" t="str">
        <f>TEXT(Table13[[#This Row],[Order_Date]],"mmm-yyyy")</f>
        <v>Apr-2023</v>
      </c>
    </row>
    <row r="209" spans="1:11" x14ac:dyDescent="0.3">
      <c r="A209" t="s">
        <v>1290</v>
      </c>
      <c r="B209" s="1">
        <v>45481</v>
      </c>
      <c r="C209" t="s">
        <v>425</v>
      </c>
      <c r="D209" t="s">
        <v>997</v>
      </c>
      <c r="E209">
        <v>94.33</v>
      </c>
      <c r="F209">
        <v>1</v>
      </c>
      <c r="G209">
        <v>0</v>
      </c>
      <c r="H209">
        <v>0</v>
      </c>
      <c r="I209" t="str">
        <f>VLOOKUP(C209,Table1[#All],3,FALSE)</f>
        <v>Asia</v>
      </c>
      <c r="J209" t="str">
        <f>VLOOKUP(C209,Table1[#All],4,FALSE)</f>
        <v>Corporate</v>
      </c>
      <c r="K209" t="str">
        <f>TEXT(Table13[[#This Row],[Order_Date]],"mmm-yyyy")</f>
        <v>Jul-2024</v>
      </c>
    </row>
    <row r="210" spans="1:11" x14ac:dyDescent="0.3">
      <c r="A210" t="s">
        <v>1289</v>
      </c>
      <c r="B210" s="1">
        <v>45031</v>
      </c>
      <c r="C210" t="s">
        <v>126</v>
      </c>
      <c r="D210" t="s">
        <v>995</v>
      </c>
      <c r="E210">
        <v>7055.1360000000004</v>
      </c>
      <c r="F210">
        <v>16</v>
      </c>
      <c r="G210">
        <v>11</v>
      </c>
      <c r="H210">
        <v>0.1</v>
      </c>
      <c r="I210" t="str">
        <f>VLOOKUP(C210,Table1[#All],3,FALSE)</f>
        <v>Asia</v>
      </c>
      <c r="J210" t="str">
        <f>VLOOKUP(C210,Table1[#All],4,FALSE)</f>
        <v>Consumer</v>
      </c>
      <c r="K210" t="str">
        <f>TEXT(Table13[[#This Row],[Order_Date]],"mmm-yyyy")</f>
        <v>Apr-2023</v>
      </c>
    </row>
    <row r="211" spans="1:11" x14ac:dyDescent="0.3">
      <c r="A211" t="s">
        <v>1288</v>
      </c>
      <c r="B211" s="1">
        <v>45268</v>
      </c>
      <c r="C211" t="s">
        <v>428</v>
      </c>
      <c r="D211" t="s">
        <v>995</v>
      </c>
      <c r="E211">
        <v>2096.498</v>
      </c>
      <c r="F211">
        <v>4</v>
      </c>
      <c r="G211">
        <v>-41</v>
      </c>
      <c r="H211">
        <v>0.05</v>
      </c>
      <c r="I211" t="str">
        <f>VLOOKUP(C211,Table1[#All],3,FALSE)</f>
        <v>South America</v>
      </c>
      <c r="J211" t="str">
        <f>VLOOKUP(C211,Table1[#All],4,FALSE)</f>
        <v>Consumer</v>
      </c>
      <c r="K211" t="str">
        <f>TEXT(Table13[[#This Row],[Order_Date]],"mmm-yyyy")</f>
        <v>Dec-2023</v>
      </c>
    </row>
    <row r="212" spans="1:11" x14ac:dyDescent="0.3">
      <c r="A212" t="s">
        <v>1287</v>
      </c>
      <c r="B212" s="1">
        <v>45096</v>
      </c>
      <c r="C212" t="s">
        <v>430</v>
      </c>
      <c r="D212" t="s">
        <v>997</v>
      </c>
      <c r="E212">
        <v>8605.9865000000009</v>
      </c>
      <c r="F212">
        <v>17</v>
      </c>
      <c r="G212">
        <v>77</v>
      </c>
      <c r="H212">
        <v>0.15</v>
      </c>
      <c r="I212" t="str">
        <f>VLOOKUP(C212,Table1[#All],3,FALSE)</f>
        <v>Europe</v>
      </c>
      <c r="J212" t="str">
        <f>VLOOKUP(C212,Table1[#All],4,FALSE)</f>
        <v>Consumer</v>
      </c>
      <c r="K212" t="str">
        <f>TEXT(Table13[[#This Row],[Order_Date]],"mmm-yyyy")</f>
        <v>Jun-2023</v>
      </c>
    </row>
    <row r="213" spans="1:11" x14ac:dyDescent="0.3">
      <c r="A213" t="s">
        <v>1286</v>
      </c>
      <c r="B213" s="1">
        <v>45289</v>
      </c>
      <c r="C213" t="s">
        <v>432</v>
      </c>
      <c r="D213" t="s">
        <v>995</v>
      </c>
      <c r="E213">
        <v>162.108</v>
      </c>
      <c r="F213">
        <v>1</v>
      </c>
      <c r="G213">
        <v>2</v>
      </c>
      <c r="H213">
        <v>0.1</v>
      </c>
      <c r="I213" t="str">
        <f>VLOOKUP(C213,Table1[#All],3,FALSE)</f>
        <v>Asia</v>
      </c>
      <c r="J213" t="str">
        <f>VLOOKUP(C213,Table1[#All],4,FALSE)</f>
        <v>Consumer</v>
      </c>
      <c r="K213" t="str">
        <f>TEXT(Table13[[#This Row],[Order_Date]],"mmm-yyyy")</f>
        <v>Dec-2023</v>
      </c>
    </row>
    <row r="214" spans="1:11" x14ac:dyDescent="0.3">
      <c r="A214" t="s">
        <v>1285</v>
      </c>
      <c r="B214" s="1">
        <v>45011</v>
      </c>
      <c r="C214" t="s">
        <v>434</v>
      </c>
      <c r="D214" t="s">
        <v>997</v>
      </c>
      <c r="E214">
        <v>3075.3</v>
      </c>
      <c r="F214">
        <v>12</v>
      </c>
      <c r="G214">
        <v>-90</v>
      </c>
      <c r="H214">
        <v>0.15</v>
      </c>
      <c r="I214" t="str">
        <f>VLOOKUP(C214,Table1[#All],3,FALSE)</f>
        <v>Asia</v>
      </c>
      <c r="J214" t="str">
        <f>VLOOKUP(C214,Table1[#All],4,FALSE)</f>
        <v>Home Office</v>
      </c>
      <c r="K214" t="str">
        <f>TEXT(Table13[[#This Row],[Order_Date]],"mmm-yyyy")</f>
        <v>Mar-2023</v>
      </c>
    </row>
    <row r="215" spans="1:11" x14ac:dyDescent="0.3">
      <c r="A215" t="s">
        <v>1284</v>
      </c>
      <c r="B215" s="1">
        <v>44935</v>
      </c>
      <c r="C215" t="s">
        <v>436</v>
      </c>
      <c r="D215" t="s">
        <v>1000</v>
      </c>
      <c r="E215">
        <v>4650.3500000000004</v>
      </c>
      <c r="F215">
        <v>20</v>
      </c>
      <c r="G215">
        <v>-35</v>
      </c>
      <c r="H215">
        <v>0.15</v>
      </c>
      <c r="I215" t="str">
        <f>VLOOKUP(C215,Table1[#All],3,FALSE)</f>
        <v>South America</v>
      </c>
      <c r="J215" t="str">
        <f>VLOOKUP(C215,Table1[#All],4,FALSE)</f>
        <v>Corporate</v>
      </c>
      <c r="K215" t="str">
        <f>TEXT(Table13[[#This Row],[Order_Date]],"mmm-yyyy")</f>
        <v>Jan-2023</v>
      </c>
    </row>
    <row r="216" spans="1:11" x14ac:dyDescent="0.3">
      <c r="A216" t="s">
        <v>1283</v>
      </c>
      <c r="B216" s="1">
        <v>45420</v>
      </c>
      <c r="C216" t="s">
        <v>438</v>
      </c>
      <c r="D216" t="s">
        <v>1000</v>
      </c>
      <c r="E216">
        <v>1010.124</v>
      </c>
      <c r="F216">
        <v>6</v>
      </c>
      <c r="G216">
        <v>-37</v>
      </c>
      <c r="H216">
        <v>0.1</v>
      </c>
      <c r="I216" t="str">
        <f>VLOOKUP(C216,Table1[#All],3,FALSE)</f>
        <v>Europe</v>
      </c>
      <c r="J216" t="str">
        <f>VLOOKUP(C216,Table1[#All],4,FALSE)</f>
        <v>Consumer</v>
      </c>
      <c r="K216" t="str">
        <f>TEXT(Table13[[#This Row],[Order_Date]],"mmm-yyyy")</f>
        <v>May-2024</v>
      </c>
    </row>
    <row r="217" spans="1:11" x14ac:dyDescent="0.3">
      <c r="A217" t="s">
        <v>1282</v>
      </c>
      <c r="B217" s="1">
        <v>45680</v>
      </c>
      <c r="C217" t="s">
        <v>440</v>
      </c>
      <c r="D217" t="s">
        <v>997</v>
      </c>
      <c r="E217">
        <v>9000.32</v>
      </c>
      <c r="F217">
        <v>16</v>
      </c>
      <c r="G217">
        <v>148</v>
      </c>
      <c r="H217">
        <v>0</v>
      </c>
      <c r="I217" t="str">
        <f>VLOOKUP(C217,Table1[#All],3,FALSE)</f>
        <v>North America</v>
      </c>
      <c r="J217" t="str">
        <f>VLOOKUP(C217,Table1[#All],4,FALSE)</f>
        <v>Consumer</v>
      </c>
      <c r="K217" t="str">
        <f>TEXT(Table13[[#This Row],[Order_Date]],"mmm-yyyy")</f>
        <v>Jan-2025</v>
      </c>
    </row>
    <row r="218" spans="1:11" x14ac:dyDescent="0.3">
      <c r="A218" t="s">
        <v>1281</v>
      </c>
      <c r="B218" s="1">
        <v>45062</v>
      </c>
      <c r="C218" t="s">
        <v>442</v>
      </c>
      <c r="D218" t="s">
        <v>997</v>
      </c>
      <c r="E218">
        <v>306.57600000000002</v>
      </c>
      <c r="F218">
        <v>4</v>
      </c>
      <c r="G218">
        <v>53</v>
      </c>
      <c r="H218">
        <v>0.1</v>
      </c>
      <c r="I218" t="str">
        <f>VLOOKUP(C218,Table1[#All],3,FALSE)</f>
        <v>Asia</v>
      </c>
      <c r="J218" t="str">
        <f>VLOOKUP(C218,Table1[#All],4,FALSE)</f>
        <v>Consumer</v>
      </c>
      <c r="K218" t="str">
        <f>TEXT(Table13[[#This Row],[Order_Date]],"mmm-yyyy")</f>
        <v>May-2023</v>
      </c>
    </row>
    <row r="219" spans="1:11" x14ac:dyDescent="0.3">
      <c r="A219" t="s">
        <v>1280</v>
      </c>
      <c r="B219" s="1">
        <v>44971</v>
      </c>
      <c r="C219" t="s">
        <v>444</v>
      </c>
      <c r="D219" t="s">
        <v>1000</v>
      </c>
      <c r="E219">
        <v>4605.402</v>
      </c>
      <c r="F219">
        <v>12</v>
      </c>
      <c r="G219">
        <v>-45</v>
      </c>
      <c r="H219">
        <v>0.15</v>
      </c>
      <c r="I219" t="str">
        <f>VLOOKUP(C219,Table1[#All],3,FALSE)</f>
        <v>North America</v>
      </c>
      <c r="J219" t="str">
        <f>VLOOKUP(C219,Table1[#All],4,FALSE)</f>
        <v>Home Office</v>
      </c>
      <c r="K219" t="str">
        <f>TEXT(Table13[[#This Row],[Order_Date]],"mmm-yyyy")</f>
        <v>Feb-2023</v>
      </c>
    </row>
    <row r="220" spans="1:11" x14ac:dyDescent="0.3">
      <c r="A220" t="s">
        <v>1279</v>
      </c>
      <c r="B220" s="1">
        <v>45357</v>
      </c>
      <c r="C220" t="s">
        <v>446</v>
      </c>
      <c r="D220" t="s">
        <v>995</v>
      </c>
      <c r="E220">
        <v>220.8895</v>
      </c>
      <c r="F220">
        <v>1</v>
      </c>
      <c r="G220">
        <v>11</v>
      </c>
      <c r="H220">
        <v>0.15</v>
      </c>
      <c r="I220" t="str">
        <f>VLOOKUP(C220,Table1[#All],3,FALSE)</f>
        <v>Africa</v>
      </c>
      <c r="J220" t="str">
        <f>VLOOKUP(C220,Table1[#All],4,FALSE)</f>
        <v>Consumer</v>
      </c>
      <c r="K220" t="str">
        <f>TEXT(Table13[[#This Row],[Order_Date]],"mmm-yyyy")</f>
        <v>Mar-2024</v>
      </c>
    </row>
    <row r="221" spans="1:11" x14ac:dyDescent="0.3">
      <c r="A221" t="s">
        <v>1278</v>
      </c>
      <c r="B221" s="1">
        <v>45149</v>
      </c>
      <c r="C221" t="s">
        <v>448</v>
      </c>
      <c r="D221" t="s">
        <v>997</v>
      </c>
      <c r="E221">
        <v>5096.75</v>
      </c>
      <c r="F221">
        <v>20</v>
      </c>
      <c r="G221">
        <v>-50</v>
      </c>
      <c r="H221">
        <v>0.05</v>
      </c>
      <c r="I221" t="str">
        <f>VLOOKUP(C221,Table1[#All],3,FALSE)</f>
        <v>Africa</v>
      </c>
      <c r="J221" t="str">
        <f>VLOOKUP(C221,Table1[#All],4,FALSE)</f>
        <v>Corporate</v>
      </c>
      <c r="K221" t="str">
        <f>TEXT(Table13[[#This Row],[Order_Date]],"mmm-yyyy")</f>
        <v>Aug-2023</v>
      </c>
    </row>
    <row r="222" spans="1:11" x14ac:dyDescent="0.3">
      <c r="A222" t="s">
        <v>1277</v>
      </c>
      <c r="B222" s="1">
        <v>44950</v>
      </c>
      <c r="C222" t="s">
        <v>450</v>
      </c>
      <c r="D222" t="s">
        <v>1000</v>
      </c>
      <c r="E222">
        <v>2661.3</v>
      </c>
      <c r="F222">
        <v>10</v>
      </c>
      <c r="G222">
        <v>-36</v>
      </c>
      <c r="H222">
        <v>0</v>
      </c>
      <c r="I222" t="str">
        <f>VLOOKUP(C222,Table1[#All],3,FALSE)</f>
        <v>Europe</v>
      </c>
      <c r="J222" t="str">
        <f>VLOOKUP(C222,Table1[#All],4,FALSE)</f>
        <v>Consumer</v>
      </c>
      <c r="K222" t="str">
        <f>TEXT(Table13[[#This Row],[Order_Date]],"mmm-yyyy")</f>
        <v>Jan-2023</v>
      </c>
    </row>
    <row r="223" spans="1:11" x14ac:dyDescent="0.3">
      <c r="A223" t="s">
        <v>1276</v>
      </c>
      <c r="B223" s="1">
        <v>45736</v>
      </c>
      <c r="C223" t="s">
        <v>452</v>
      </c>
      <c r="D223" t="s">
        <v>995</v>
      </c>
      <c r="E223">
        <v>8431.3259999999991</v>
      </c>
      <c r="F223">
        <v>18</v>
      </c>
      <c r="G223">
        <v>161</v>
      </c>
      <c r="H223">
        <v>0.05</v>
      </c>
      <c r="I223" t="str">
        <f>VLOOKUP(C223,Table1[#All],3,FALSE)</f>
        <v>Europe</v>
      </c>
      <c r="J223" t="str">
        <f>VLOOKUP(C223,Table1[#All],4,FALSE)</f>
        <v>Consumer</v>
      </c>
      <c r="K223" t="str">
        <f>TEXT(Table13[[#This Row],[Order_Date]],"mmm-yyyy")</f>
        <v>Mar-2025</v>
      </c>
    </row>
    <row r="224" spans="1:11" x14ac:dyDescent="0.3">
      <c r="A224" t="s">
        <v>1275</v>
      </c>
      <c r="B224" s="1">
        <v>45344</v>
      </c>
      <c r="C224" t="s">
        <v>454</v>
      </c>
      <c r="D224" t="s">
        <v>995</v>
      </c>
      <c r="E224">
        <v>139.916</v>
      </c>
      <c r="F224">
        <v>4</v>
      </c>
      <c r="G224">
        <v>8</v>
      </c>
      <c r="H224">
        <v>0.05</v>
      </c>
      <c r="I224" t="str">
        <f>VLOOKUP(C224,Table1[#All],3,FALSE)</f>
        <v>Europe</v>
      </c>
      <c r="J224" t="str">
        <f>VLOOKUP(C224,Table1[#All],4,FALSE)</f>
        <v>Home Office</v>
      </c>
      <c r="K224" t="str">
        <f>TEXT(Table13[[#This Row],[Order_Date]],"mmm-yyyy")</f>
        <v>Feb-2024</v>
      </c>
    </row>
    <row r="225" spans="1:11" x14ac:dyDescent="0.3">
      <c r="A225" t="s">
        <v>1274</v>
      </c>
      <c r="B225" s="1">
        <v>45692</v>
      </c>
      <c r="C225" t="s">
        <v>456</v>
      </c>
      <c r="D225" t="s">
        <v>997</v>
      </c>
      <c r="E225">
        <v>4217.1899999999996</v>
      </c>
      <c r="F225">
        <v>12</v>
      </c>
      <c r="G225">
        <v>-272</v>
      </c>
      <c r="H225">
        <v>0.15</v>
      </c>
      <c r="I225" t="str">
        <f>VLOOKUP(C225,Table1[#All],3,FALSE)</f>
        <v>North America</v>
      </c>
      <c r="J225" t="str">
        <f>VLOOKUP(C225,Table1[#All],4,FALSE)</f>
        <v>Corporate</v>
      </c>
      <c r="K225" t="str">
        <f>TEXT(Table13[[#This Row],[Order_Date]],"mmm-yyyy")</f>
        <v>Feb-2025</v>
      </c>
    </row>
    <row r="226" spans="1:11" x14ac:dyDescent="0.3">
      <c r="A226" t="s">
        <v>1273</v>
      </c>
      <c r="B226" s="1">
        <v>45997</v>
      </c>
      <c r="C226" t="s">
        <v>458</v>
      </c>
      <c r="D226" t="s">
        <v>995</v>
      </c>
      <c r="E226">
        <v>7630.875</v>
      </c>
      <c r="F226">
        <v>19</v>
      </c>
      <c r="G226">
        <v>4</v>
      </c>
      <c r="H226">
        <v>0.1</v>
      </c>
      <c r="I226" t="str">
        <f>VLOOKUP(C226,Table1[#All],3,FALSE)</f>
        <v>North America</v>
      </c>
      <c r="J226" t="str">
        <f>VLOOKUP(C226,Table1[#All],4,FALSE)</f>
        <v>Home Office</v>
      </c>
      <c r="K226" t="str">
        <f>TEXT(Table13[[#This Row],[Order_Date]],"mmm-yyyy")</f>
        <v>Dec-2025</v>
      </c>
    </row>
    <row r="227" spans="1:11" x14ac:dyDescent="0.3">
      <c r="A227" t="s">
        <v>1272</v>
      </c>
      <c r="B227" s="1">
        <v>45059</v>
      </c>
      <c r="C227" t="s">
        <v>460</v>
      </c>
      <c r="D227" t="s">
        <v>997</v>
      </c>
      <c r="E227">
        <v>492.48149999999998</v>
      </c>
      <c r="F227">
        <v>7</v>
      </c>
      <c r="G227">
        <v>357</v>
      </c>
      <c r="H227">
        <v>0.15</v>
      </c>
      <c r="I227" t="str">
        <f>VLOOKUP(C227,Table1[#All],3,FALSE)</f>
        <v>Asia</v>
      </c>
      <c r="J227" t="str">
        <f>VLOOKUP(C227,Table1[#All],4,FALSE)</f>
        <v>Consumer</v>
      </c>
      <c r="K227" t="str">
        <f>TEXT(Table13[[#This Row],[Order_Date]],"mmm-yyyy")</f>
        <v>May-2023</v>
      </c>
    </row>
    <row r="228" spans="1:11" x14ac:dyDescent="0.3">
      <c r="A228" t="s">
        <v>1271</v>
      </c>
      <c r="B228" s="1">
        <v>45010</v>
      </c>
      <c r="C228" t="s">
        <v>462</v>
      </c>
      <c r="D228" t="s">
        <v>997</v>
      </c>
      <c r="E228">
        <v>5777.96</v>
      </c>
      <c r="F228">
        <v>17</v>
      </c>
      <c r="G228">
        <v>70</v>
      </c>
      <c r="H228">
        <v>0</v>
      </c>
      <c r="I228" t="str">
        <f>VLOOKUP(C228,Table1[#All],3,FALSE)</f>
        <v>South America</v>
      </c>
      <c r="J228" t="str">
        <f>VLOOKUP(C228,Table1[#All],4,FALSE)</f>
        <v>Corporate</v>
      </c>
      <c r="K228" t="str">
        <f>TEXT(Table13[[#This Row],[Order_Date]],"mmm-yyyy")</f>
        <v>Mar-2023</v>
      </c>
    </row>
    <row r="229" spans="1:11" x14ac:dyDescent="0.3">
      <c r="A229" t="s">
        <v>1270</v>
      </c>
      <c r="B229" s="1">
        <v>45618</v>
      </c>
      <c r="C229" t="s">
        <v>464</v>
      </c>
      <c r="D229" t="s">
        <v>997</v>
      </c>
      <c r="E229">
        <v>5883.768</v>
      </c>
      <c r="F229">
        <v>19</v>
      </c>
      <c r="G229">
        <v>49</v>
      </c>
      <c r="H229">
        <v>0.15</v>
      </c>
      <c r="I229" t="str">
        <f>VLOOKUP(C229,Table1[#All],3,FALSE)</f>
        <v>South America</v>
      </c>
      <c r="J229" t="str">
        <f>VLOOKUP(C229,Table1[#All],4,FALSE)</f>
        <v>Corporate</v>
      </c>
      <c r="K229" t="str">
        <f>TEXT(Table13[[#This Row],[Order_Date]],"mmm-yyyy")</f>
        <v>Nov-2024</v>
      </c>
    </row>
    <row r="230" spans="1:11" x14ac:dyDescent="0.3">
      <c r="A230" t="s">
        <v>1269</v>
      </c>
      <c r="B230" s="1">
        <v>45114</v>
      </c>
      <c r="C230" t="s">
        <v>466</v>
      </c>
      <c r="D230" t="s">
        <v>995</v>
      </c>
      <c r="E230">
        <v>215.73</v>
      </c>
      <c r="F230">
        <v>3</v>
      </c>
      <c r="G230">
        <v>48</v>
      </c>
      <c r="H230">
        <v>0</v>
      </c>
      <c r="I230" t="str">
        <f>VLOOKUP(C230,Table1[#All],3,FALSE)</f>
        <v>Asia</v>
      </c>
      <c r="J230" t="str">
        <f>VLOOKUP(C230,Table1[#All],4,FALSE)</f>
        <v>Consumer</v>
      </c>
      <c r="K230" t="str">
        <f>TEXT(Table13[[#This Row],[Order_Date]],"mmm-yyyy")</f>
        <v>Jul-2023</v>
      </c>
    </row>
    <row r="231" spans="1:11" x14ac:dyDescent="0.3">
      <c r="A231" t="s">
        <v>1268</v>
      </c>
      <c r="B231" s="1">
        <v>45422</v>
      </c>
      <c r="C231" t="s">
        <v>468</v>
      </c>
      <c r="D231" t="s">
        <v>1000</v>
      </c>
      <c r="E231">
        <v>10949.7</v>
      </c>
      <c r="F231">
        <v>20</v>
      </c>
      <c r="G231">
        <v>-77</v>
      </c>
      <c r="H231">
        <v>0.05</v>
      </c>
      <c r="I231" t="str">
        <f>VLOOKUP(C231,Table1[#All],3,FALSE)</f>
        <v>Asia</v>
      </c>
      <c r="J231" t="str">
        <f>VLOOKUP(C231,Table1[#All],4,FALSE)</f>
        <v>Home Office</v>
      </c>
      <c r="K231" t="str">
        <f>TEXT(Table13[[#This Row],[Order_Date]],"mmm-yyyy")</f>
        <v>May-2024</v>
      </c>
    </row>
    <row r="232" spans="1:11" x14ac:dyDescent="0.3">
      <c r="A232" t="s">
        <v>1267</v>
      </c>
      <c r="B232" s="1">
        <v>45382</v>
      </c>
      <c r="C232" t="s">
        <v>470</v>
      </c>
      <c r="D232" t="s">
        <v>997</v>
      </c>
      <c r="E232">
        <v>844.2</v>
      </c>
      <c r="F232">
        <v>7</v>
      </c>
      <c r="G232">
        <v>199</v>
      </c>
      <c r="H232">
        <v>0</v>
      </c>
      <c r="I232" t="str">
        <f>VLOOKUP(C232,Table1[#All],3,FALSE)</f>
        <v>Europe</v>
      </c>
      <c r="J232" t="str">
        <f>VLOOKUP(C232,Table1[#All],4,FALSE)</f>
        <v>Consumer</v>
      </c>
      <c r="K232" t="str">
        <f>TEXT(Table13[[#This Row],[Order_Date]],"mmm-yyyy")</f>
        <v>Mar-2024</v>
      </c>
    </row>
    <row r="233" spans="1:11" x14ac:dyDescent="0.3">
      <c r="A233" t="s">
        <v>1266</v>
      </c>
      <c r="B233" s="1">
        <v>45661</v>
      </c>
      <c r="C233" t="s">
        <v>472</v>
      </c>
      <c r="D233" t="s">
        <v>995</v>
      </c>
      <c r="E233">
        <v>731.04399999999998</v>
      </c>
      <c r="F233">
        <v>8</v>
      </c>
      <c r="G233">
        <v>-45</v>
      </c>
      <c r="H233">
        <v>0.05</v>
      </c>
      <c r="I233" t="str">
        <f>VLOOKUP(C233,Table1[#All],3,FALSE)</f>
        <v>Europe</v>
      </c>
      <c r="J233" t="str">
        <f>VLOOKUP(C233,Table1[#All],4,FALSE)</f>
        <v>Consumer</v>
      </c>
      <c r="K233" t="str">
        <f>TEXT(Table13[[#This Row],[Order_Date]],"mmm-yyyy")</f>
        <v>Jan-2025</v>
      </c>
    </row>
    <row r="234" spans="1:11" x14ac:dyDescent="0.3">
      <c r="A234" t="s">
        <v>1265</v>
      </c>
      <c r="B234" s="1">
        <v>45161</v>
      </c>
      <c r="C234" t="s">
        <v>474</v>
      </c>
      <c r="D234" t="s">
        <v>997</v>
      </c>
      <c r="E234">
        <v>6266.5609999999997</v>
      </c>
      <c r="F234">
        <v>14</v>
      </c>
      <c r="G234">
        <v>50</v>
      </c>
      <c r="H234">
        <v>0.05</v>
      </c>
      <c r="I234" t="str">
        <f>VLOOKUP(C234,Table1[#All],3,FALSE)</f>
        <v>Europe</v>
      </c>
      <c r="J234" t="str">
        <f>VLOOKUP(C234,Table1[#All],4,FALSE)</f>
        <v>Corporate</v>
      </c>
      <c r="K234" t="str">
        <f>TEXT(Table13[[#This Row],[Order_Date]],"mmm-yyyy")</f>
        <v>Aug-2023</v>
      </c>
    </row>
    <row r="235" spans="1:11" x14ac:dyDescent="0.3">
      <c r="A235" t="s">
        <v>1264</v>
      </c>
      <c r="B235" s="1">
        <v>45518</v>
      </c>
      <c r="C235" t="s">
        <v>476</v>
      </c>
      <c r="D235" t="s">
        <v>995</v>
      </c>
      <c r="E235">
        <v>257.94</v>
      </c>
      <c r="F235">
        <v>20</v>
      </c>
      <c r="G235">
        <v>-25</v>
      </c>
      <c r="H235">
        <v>0.1</v>
      </c>
      <c r="I235" t="str">
        <f>VLOOKUP(C235,Table1[#All],3,FALSE)</f>
        <v>South America</v>
      </c>
      <c r="J235" t="str">
        <f>VLOOKUP(C235,Table1[#All],4,FALSE)</f>
        <v>Corporate</v>
      </c>
      <c r="K235" t="str">
        <f>TEXT(Table13[[#This Row],[Order_Date]],"mmm-yyyy")</f>
        <v>Aug-2024</v>
      </c>
    </row>
    <row r="236" spans="1:11" x14ac:dyDescent="0.3">
      <c r="A236" t="s">
        <v>1263</v>
      </c>
      <c r="B236" s="1">
        <v>45702</v>
      </c>
      <c r="C236" t="s">
        <v>478</v>
      </c>
      <c r="D236" t="s">
        <v>995</v>
      </c>
      <c r="E236">
        <v>7644.0330000000004</v>
      </c>
      <c r="F236">
        <v>18</v>
      </c>
      <c r="G236">
        <v>12</v>
      </c>
      <c r="H236">
        <v>0.15</v>
      </c>
      <c r="I236" t="str">
        <f>VLOOKUP(C236,Table1[#All],3,FALSE)</f>
        <v>Africa</v>
      </c>
      <c r="J236" t="str">
        <f>VLOOKUP(C236,Table1[#All],4,FALSE)</f>
        <v>Home Office</v>
      </c>
      <c r="K236" t="str">
        <f>TEXT(Table13[[#This Row],[Order_Date]],"mmm-yyyy")</f>
        <v>Feb-2025</v>
      </c>
    </row>
    <row r="237" spans="1:11" x14ac:dyDescent="0.3">
      <c r="A237" t="s">
        <v>1262</v>
      </c>
      <c r="B237" s="1">
        <v>45241</v>
      </c>
      <c r="C237" t="s">
        <v>480</v>
      </c>
      <c r="D237" t="s">
        <v>995</v>
      </c>
      <c r="E237">
        <v>205.75800000000001</v>
      </c>
      <c r="F237">
        <v>14</v>
      </c>
      <c r="G237">
        <v>1</v>
      </c>
      <c r="H237">
        <v>0.1</v>
      </c>
      <c r="I237" t="str">
        <f>VLOOKUP(C237,Table1[#All],3,FALSE)</f>
        <v>Europe</v>
      </c>
      <c r="J237" t="str">
        <f>VLOOKUP(C237,Table1[#All],4,FALSE)</f>
        <v>Home Office</v>
      </c>
      <c r="K237" t="str">
        <f>TEXT(Table13[[#This Row],[Order_Date]],"mmm-yyyy")</f>
        <v>Nov-2023</v>
      </c>
    </row>
    <row r="238" spans="1:11" x14ac:dyDescent="0.3">
      <c r="A238" t="s">
        <v>1261</v>
      </c>
      <c r="B238" s="1">
        <v>45295</v>
      </c>
      <c r="C238" t="s">
        <v>482</v>
      </c>
      <c r="D238" t="s">
        <v>1000</v>
      </c>
      <c r="E238">
        <v>6944.9589999999998</v>
      </c>
      <c r="F238">
        <v>17</v>
      </c>
      <c r="G238">
        <v>-314</v>
      </c>
      <c r="H238">
        <v>0.15</v>
      </c>
      <c r="I238" t="str">
        <f>VLOOKUP(C238,Table1[#All],3,FALSE)</f>
        <v>Africa</v>
      </c>
      <c r="J238" t="str">
        <f>VLOOKUP(C238,Table1[#All],4,FALSE)</f>
        <v>Home Office</v>
      </c>
      <c r="K238" t="str">
        <f>TEXT(Table13[[#This Row],[Order_Date]],"mmm-yyyy")</f>
        <v>Jan-2024</v>
      </c>
    </row>
    <row r="239" spans="1:11" x14ac:dyDescent="0.3">
      <c r="A239" t="s">
        <v>1260</v>
      </c>
      <c r="B239" s="1">
        <v>45456</v>
      </c>
      <c r="C239" t="s">
        <v>484</v>
      </c>
      <c r="D239" t="s">
        <v>995</v>
      </c>
      <c r="E239">
        <v>2640.24</v>
      </c>
      <c r="F239">
        <v>5</v>
      </c>
      <c r="G239">
        <v>2</v>
      </c>
      <c r="H239">
        <v>0.05</v>
      </c>
      <c r="I239" t="str">
        <f>VLOOKUP(C239,Table1[#All],3,FALSE)</f>
        <v>South America</v>
      </c>
      <c r="J239" t="str">
        <f>VLOOKUP(C239,Table1[#All],4,FALSE)</f>
        <v>Home Office</v>
      </c>
      <c r="K239" t="str">
        <f>TEXT(Table13[[#This Row],[Order_Date]],"mmm-yyyy")</f>
        <v>Jun-2024</v>
      </c>
    </row>
    <row r="240" spans="1:11" x14ac:dyDescent="0.3">
      <c r="A240" t="s">
        <v>1259</v>
      </c>
      <c r="B240" s="1">
        <v>45258</v>
      </c>
      <c r="C240" t="s">
        <v>486</v>
      </c>
      <c r="D240" t="s">
        <v>995</v>
      </c>
      <c r="E240">
        <v>2819.2860000000001</v>
      </c>
      <c r="F240">
        <v>18</v>
      </c>
      <c r="G240">
        <v>8</v>
      </c>
      <c r="H240">
        <v>0.1</v>
      </c>
      <c r="I240" t="str">
        <f>VLOOKUP(C240,Table1[#All],3,FALSE)</f>
        <v>North America</v>
      </c>
      <c r="J240" t="str">
        <f>VLOOKUP(C240,Table1[#All],4,FALSE)</f>
        <v>Consumer</v>
      </c>
      <c r="K240" t="str">
        <f>TEXT(Table13[[#This Row],[Order_Date]],"mmm-yyyy")</f>
        <v>Nov-2023</v>
      </c>
    </row>
    <row r="241" spans="1:11" x14ac:dyDescent="0.3">
      <c r="A241" t="s">
        <v>1258</v>
      </c>
      <c r="B241" s="1">
        <v>45607</v>
      </c>
      <c r="C241" t="s">
        <v>488</v>
      </c>
      <c r="D241" t="s">
        <v>995</v>
      </c>
      <c r="E241">
        <v>2831.895</v>
      </c>
      <c r="F241">
        <v>11</v>
      </c>
      <c r="G241">
        <v>13</v>
      </c>
      <c r="H241">
        <v>0.1</v>
      </c>
      <c r="I241" t="str">
        <f>VLOOKUP(C241,Table1[#All],3,FALSE)</f>
        <v>Africa</v>
      </c>
      <c r="J241" t="str">
        <f>VLOOKUP(C241,Table1[#All],4,FALSE)</f>
        <v>Corporate</v>
      </c>
      <c r="K241" t="str">
        <f>TEXT(Table13[[#This Row],[Order_Date]],"mmm-yyyy")</f>
        <v>Nov-2024</v>
      </c>
    </row>
    <row r="242" spans="1:11" x14ac:dyDescent="0.3">
      <c r="A242" t="s">
        <v>1257</v>
      </c>
      <c r="B242" s="1">
        <v>45393</v>
      </c>
      <c r="C242" t="s">
        <v>490</v>
      </c>
      <c r="D242" t="s">
        <v>995</v>
      </c>
      <c r="E242">
        <v>651.67999999999995</v>
      </c>
      <c r="F242">
        <v>16</v>
      </c>
      <c r="G242">
        <v>412</v>
      </c>
      <c r="H242">
        <v>0</v>
      </c>
      <c r="I242" t="str">
        <f>VLOOKUP(C242,Table1[#All],3,FALSE)</f>
        <v>North America</v>
      </c>
      <c r="J242" t="str">
        <f>VLOOKUP(C242,Table1[#All],4,FALSE)</f>
        <v>Corporate</v>
      </c>
      <c r="K242" t="str">
        <f>TEXT(Table13[[#This Row],[Order_Date]],"mmm-yyyy")</f>
        <v>Apr-2024</v>
      </c>
    </row>
    <row r="243" spans="1:11" x14ac:dyDescent="0.3">
      <c r="A243" t="s">
        <v>1256</v>
      </c>
      <c r="B243" s="1">
        <v>44927</v>
      </c>
      <c r="C243" t="s">
        <v>492</v>
      </c>
      <c r="D243" t="s">
        <v>997</v>
      </c>
      <c r="E243">
        <v>5150.42</v>
      </c>
      <c r="F243">
        <v>11</v>
      </c>
      <c r="G243">
        <v>-23</v>
      </c>
      <c r="H243">
        <v>0</v>
      </c>
      <c r="I243" t="str">
        <f>VLOOKUP(C243,Table1[#All],3,FALSE)</f>
        <v>Africa</v>
      </c>
      <c r="J243" t="str">
        <f>VLOOKUP(C243,Table1[#All],4,FALSE)</f>
        <v>Home Office</v>
      </c>
      <c r="K243" t="str">
        <f>TEXT(Table13[[#This Row],[Order_Date]],"mmm-yyyy")</f>
        <v>Jan-2023</v>
      </c>
    </row>
    <row r="244" spans="1:11" x14ac:dyDescent="0.3">
      <c r="A244" t="s">
        <v>1255</v>
      </c>
      <c r="B244" s="1">
        <v>45675</v>
      </c>
      <c r="C244" t="s">
        <v>494</v>
      </c>
      <c r="D244" t="s">
        <v>995</v>
      </c>
      <c r="E244">
        <v>370.38600000000002</v>
      </c>
      <c r="F244">
        <v>1</v>
      </c>
      <c r="G244">
        <v>-5</v>
      </c>
      <c r="H244">
        <v>0.1</v>
      </c>
      <c r="I244" t="str">
        <f>VLOOKUP(C244,Table1[#All],3,FALSE)</f>
        <v>North America</v>
      </c>
      <c r="J244" t="str">
        <f>VLOOKUP(C244,Table1[#All],4,FALSE)</f>
        <v>Home Office</v>
      </c>
      <c r="K244" t="str">
        <f>TEXT(Table13[[#This Row],[Order_Date]],"mmm-yyyy")</f>
        <v>Jan-2025</v>
      </c>
    </row>
    <row r="245" spans="1:11" x14ac:dyDescent="0.3">
      <c r="A245" t="s">
        <v>1254</v>
      </c>
      <c r="B245" s="1">
        <v>44962</v>
      </c>
      <c r="C245" t="s">
        <v>496</v>
      </c>
      <c r="D245" t="s">
        <v>1000</v>
      </c>
      <c r="E245">
        <v>1657.37</v>
      </c>
      <c r="F245">
        <v>13</v>
      </c>
      <c r="G245">
        <v>27</v>
      </c>
      <c r="H245">
        <v>0.05</v>
      </c>
      <c r="I245" t="str">
        <f>VLOOKUP(C245,Table1[#All],3,FALSE)</f>
        <v>Africa</v>
      </c>
      <c r="J245" t="str">
        <f>VLOOKUP(C245,Table1[#All],4,FALSE)</f>
        <v>Home Office</v>
      </c>
      <c r="K245" t="str">
        <f>TEXT(Table13[[#This Row],[Order_Date]],"mmm-yyyy")</f>
        <v>Feb-2023</v>
      </c>
    </row>
    <row r="246" spans="1:11" x14ac:dyDescent="0.3">
      <c r="A246" t="s">
        <v>1253</v>
      </c>
      <c r="B246" s="1">
        <v>45804</v>
      </c>
      <c r="C246" t="s">
        <v>498</v>
      </c>
      <c r="D246" t="s">
        <v>995</v>
      </c>
      <c r="E246">
        <v>2985.4549999999999</v>
      </c>
      <c r="F246">
        <v>10</v>
      </c>
      <c r="G246">
        <v>-124</v>
      </c>
      <c r="H246">
        <v>0.15</v>
      </c>
      <c r="I246" t="str">
        <f>VLOOKUP(C246,Table1[#All],3,FALSE)</f>
        <v>Europe</v>
      </c>
      <c r="J246" t="str">
        <f>VLOOKUP(C246,Table1[#All],4,FALSE)</f>
        <v>Home Office</v>
      </c>
      <c r="K246" t="str">
        <f>TEXT(Table13[[#This Row],[Order_Date]],"mmm-yyyy")</f>
        <v>May-2025</v>
      </c>
    </row>
    <row r="247" spans="1:11" x14ac:dyDescent="0.3">
      <c r="A247" t="s">
        <v>1252</v>
      </c>
      <c r="B247" s="1">
        <v>45653</v>
      </c>
      <c r="C247" t="s">
        <v>500</v>
      </c>
      <c r="D247" t="s">
        <v>995</v>
      </c>
      <c r="E247">
        <v>6944.3639999999996</v>
      </c>
      <c r="F247">
        <v>14</v>
      </c>
      <c r="G247">
        <v>1</v>
      </c>
      <c r="H247">
        <v>0.1</v>
      </c>
      <c r="I247" t="str">
        <f>VLOOKUP(C247,Table1[#All],3,FALSE)</f>
        <v>South America</v>
      </c>
      <c r="J247" t="str">
        <f>VLOOKUP(C247,Table1[#All],4,FALSE)</f>
        <v>Consumer</v>
      </c>
      <c r="K247" t="str">
        <f>TEXT(Table13[[#This Row],[Order_Date]],"mmm-yyyy")</f>
        <v>Dec-2024</v>
      </c>
    </row>
    <row r="248" spans="1:11" x14ac:dyDescent="0.3">
      <c r="A248" t="s">
        <v>1251</v>
      </c>
      <c r="B248" s="1">
        <v>45734</v>
      </c>
      <c r="C248" t="s">
        <v>502</v>
      </c>
      <c r="D248" t="s">
        <v>995</v>
      </c>
      <c r="E248">
        <v>236.03399999999999</v>
      </c>
      <c r="F248">
        <v>2</v>
      </c>
      <c r="G248">
        <v>86</v>
      </c>
      <c r="H248">
        <v>0.1</v>
      </c>
      <c r="I248" t="str">
        <f>VLOOKUP(C248,Table1[#All],3,FALSE)</f>
        <v>Europe</v>
      </c>
      <c r="J248" t="str">
        <f>VLOOKUP(C248,Table1[#All],4,FALSE)</f>
        <v>Consumer</v>
      </c>
      <c r="K248" t="str">
        <f>TEXT(Table13[[#This Row],[Order_Date]],"mmm-yyyy")</f>
        <v>Mar-2025</v>
      </c>
    </row>
    <row r="249" spans="1:11" x14ac:dyDescent="0.3">
      <c r="A249" t="s">
        <v>1250</v>
      </c>
      <c r="B249" s="1">
        <v>45375</v>
      </c>
      <c r="C249" t="s">
        <v>118</v>
      </c>
      <c r="D249" t="s">
        <v>995</v>
      </c>
      <c r="E249">
        <v>3570.66</v>
      </c>
      <c r="F249">
        <v>6</v>
      </c>
      <c r="G249">
        <v>126</v>
      </c>
      <c r="H249">
        <v>0</v>
      </c>
      <c r="I249" t="str">
        <f>VLOOKUP(C249,Table1[#All],3,FALSE)</f>
        <v>South America</v>
      </c>
      <c r="J249" t="str">
        <f>VLOOKUP(C249,Table1[#All],4,FALSE)</f>
        <v>Consumer</v>
      </c>
      <c r="K249" t="str">
        <f>TEXT(Table13[[#This Row],[Order_Date]],"mmm-yyyy")</f>
        <v>Mar-2024</v>
      </c>
    </row>
    <row r="250" spans="1:11" x14ac:dyDescent="0.3">
      <c r="A250" t="s">
        <v>1249</v>
      </c>
      <c r="B250" s="1">
        <v>45652</v>
      </c>
      <c r="C250" t="s">
        <v>300</v>
      </c>
      <c r="D250" t="s">
        <v>995</v>
      </c>
      <c r="E250">
        <v>2944.962</v>
      </c>
      <c r="F250">
        <v>6</v>
      </c>
      <c r="G250">
        <v>66</v>
      </c>
      <c r="H250">
        <v>0.05</v>
      </c>
      <c r="I250" t="str">
        <f>VLOOKUP(C250,Table1[#All],3,FALSE)</f>
        <v>Africa</v>
      </c>
      <c r="J250" t="str">
        <f>VLOOKUP(C250,Table1[#All],4,FALSE)</f>
        <v>Consumer</v>
      </c>
      <c r="K250" t="str">
        <f>TEXT(Table13[[#This Row],[Order_Date]],"mmm-yyyy")</f>
        <v>Dec-2024</v>
      </c>
    </row>
    <row r="251" spans="1:11" x14ac:dyDescent="0.3">
      <c r="A251" t="s">
        <v>1248</v>
      </c>
      <c r="B251" s="1">
        <v>45231</v>
      </c>
      <c r="C251" t="s">
        <v>506</v>
      </c>
      <c r="D251" t="s">
        <v>995</v>
      </c>
      <c r="E251">
        <v>1154.6489999999999</v>
      </c>
      <c r="F251">
        <v>6</v>
      </c>
      <c r="G251">
        <v>2</v>
      </c>
      <c r="H251">
        <v>0.05</v>
      </c>
      <c r="I251" t="str">
        <f>VLOOKUP(C251,Table1[#All],3,FALSE)</f>
        <v>North America</v>
      </c>
      <c r="J251" t="str">
        <f>VLOOKUP(C251,Table1[#All],4,FALSE)</f>
        <v>Home Office</v>
      </c>
      <c r="K251" t="str">
        <f>TEXT(Table13[[#This Row],[Order_Date]],"mmm-yyyy")</f>
        <v>Nov-2023</v>
      </c>
    </row>
    <row r="252" spans="1:11" x14ac:dyDescent="0.3">
      <c r="A252" t="s">
        <v>1247</v>
      </c>
      <c r="B252" s="1">
        <v>45663</v>
      </c>
      <c r="C252" t="s">
        <v>508</v>
      </c>
      <c r="D252" t="s">
        <v>1000</v>
      </c>
      <c r="E252">
        <v>3383.0680000000002</v>
      </c>
      <c r="F252">
        <v>13</v>
      </c>
      <c r="G252">
        <v>118</v>
      </c>
      <c r="H252">
        <v>0.15</v>
      </c>
      <c r="I252" t="str">
        <f>VLOOKUP(C252,Table1[#All],3,FALSE)</f>
        <v>South America</v>
      </c>
      <c r="J252" t="str">
        <f>VLOOKUP(C252,Table1[#All],4,FALSE)</f>
        <v>Corporate</v>
      </c>
      <c r="K252" t="str">
        <f>TEXT(Table13[[#This Row],[Order_Date]],"mmm-yyyy")</f>
        <v>Jan-2025</v>
      </c>
    </row>
    <row r="253" spans="1:11" x14ac:dyDescent="0.3">
      <c r="A253" t="s">
        <v>1246</v>
      </c>
      <c r="B253" s="1">
        <v>45561</v>
      </c>
      <c r="C253" t="s">
        <v>510</v>
      </c>
      <c r="D253" t="s">
        <v>995</v>
      </c>
      <c r="E253">
        <v>4420.1189999999997</v>
      </c>
      <c r="F253">
        <v>11</v>
      </c>
      <c r="G253">
        <v>-56</v>
      </c>
      <c r="H253">
        <v>0.15</v>
      </c>
      <c r="I253" t="str">
        <f>VLOOKUP(C253,Table1[#All],3,FALSE)</f>
        <v>Asia</v>
      </c>
      <c r="J253" t="str">
        <f>VLOOKUP(C253,Table1[#All],4,FALSE)</f>
        <v>Home Office</v>
      </c>
      <c r="K253" t="str">
        <f>TEXT(Table13[[#This Row],[Order_Date]],"mmm-yyyy")</f>
        <v>Sep-2024</v>
      </c>
    </row>
    <row r="254" spans="1:11" x14ac:dyDescent="0.3">
      <c r="A254" t="s">
        <v>1245</v>
      </c>
      <c r="B254" s="1">
        <v>45573</v>
      </c>
      <c r="C254" t="s">
        <v>512</v>
      </c>
      <c r="D254" t="s">
        <v>995</v>
      </c>
      <c r="E254">
        <v>6072.66</v>
      </c>
      <c r="F254">
        <v>20</v>
      </c>
      <c r="G254">
        <v>14</v>
      </c>
      <c r="H254">
        <v>0.1</v>
      </c>
      <c r="I254" t="str">
        <f>VLOOKUP(C254,Table1[#All],3,FALSE)</f>
        <v>Asia</v>
      </c>
      <c r="J254" t="str">
        <f>VLOOKUP(C254,Table1[#All],4,FALSE)</f>
        <v>Corporate</v>
      </c>
      <c r="K254" t="str">
        <f>TEXT(Table13[[#This Row],[Order_Date]],"mmm-yyyy")</f>
        <v>Oct-2024</v>
      </c>
    </row>
    <row r="255" spans="1:11" x14ac:dyDescent="0.3">
      <c r="A255" t="s">
        <v>1244</v>
      </c>
      <c r="B255" s="1">
        <v>45691</v>
      </c>
      <c r="C255" t="s">
        <v>514</v>
      </c>
      <c r="D255" t="s">
        <v>995</v>
      </c>
      <c r="E255">
        <v>369.79199999999997</v>
      </c>
      <c r="F255">
        <v>12</v>
      </c>
      <c r="G255">
        <v>111</v>
      </c>
      <c r="H255">
        <v>0.1</v>
      </c>
      <c r="I255" t="str">
        <f>VLOOKUP(C255,Table1[#All],3,FALSE)</f>
        <v>South America</v>
      </c>
      <c r="J255" t="str">
        <f>VLOOKUP(C255,Table1[#All],4,FALSE)</f>
        <v>Home Office</v>
      </c>
      <c r="K255" t="str">
        <f>TEXT(Table13[[#This Row],[Order_Date]],"mmm-yyyy")</f>
        <v>Feb-2025</v>
      </c>
    </row>
    <row r="256" spans="1:11" x14ac:dyDescent="0.3">
      <c r="A256" t="s">
        <v>1243</v>
      </c>
      <c r="B256" s="1">
        <v>44978</v>
      </c>
      <c r="C256" t="s">
        <v>516</v>
      </c>
      <c r="D256" t="s">
        <v>1000</v>
      </c>
      <c r="E256">
        <v>1908.2</v>
      </c>
      <c r="F256">
        <v>4</v>
      </c>
      <c r="G256">
        <v>93</v>
      </c>
      <c r="H256">
        <v>0</v>
      </c>
      <c r="I256" t="str">
        <f>VLOOKUP(C256,Table1[#All],3,FALSE)</f>
        <v>Asia</v>
      </c>
      <c r="J256" t="str">
        <f>VLOOKUP(C256,Table1[#All],4,FALSE)</f>
        <v>Corporate</v>
      </c>
      <c r="K256" t="str">
        <f>TEXT(Table13[[#This Row],[Order_Date]],"mmm-yyyy")</f>
        <v>Feb-2023</v>
      </c>
    </row>
    <row r="257" spans="1:11" x14ac:dyDescent="0.3">
      <c r="A257" t="s">
        <v>1242</v>
      </c>
      <c r="B257" s="1">
        <v>45616</v>
      </c>
      <c r="C257" t="s">
        <v>518</v>
      </c>
      <c r="D257" t="s">
        <v>995</v>
      </c>
      <c r="E257">
        <v>3377.58</v>
      </c>
      <c r="F257">
        <v>6</v>
      </c>
      <c r="G257">
        <v>-116</v>
      </c>
      <c r="H257">
        <v>0</v>
      </c>
      <c r="I257" t="str">
        <f>VLOOKUP(C257,Table1[#All],3,FALSE)</f>
        <v>Asia</v>
      </c>
      <c r="J257" t="str">
        <f>VLOOKUP(C257,Table1[#All],4,FALSE)</f>
        <v>Corporate</v>
      </c>
      <c r="K257" t="str">
        <f>TEXT(Table13[[#This Row],[Order_Date]],"mmm-yyyy")</f>
        <v>Nov-2024</v>
      </c>
    </row>
    <row r="258" spans="1:11" x14ac:dyDescent="0.3">
      <c r="A258" t="s">
        <v>1241</v>
      </c>
      <c r="B258" s="1">
        <v>45164</v>
      </c>
      <c r="C258" t="s">
        <v>520</v>
      </c>
      <c r="D258" t="s">
        <v>995</v>
      </c>
      <c r="E258">
        <v>365.8</v>
      </c>
      <c r="F258">
        <v>20</v>
      </c>
      <c r="G258">
        <v>212</v>
      </c>
      <c r="H258">
        <v>0</v>
      </c>
      <c r="I258" t="str">
        <f>VLOOKUP(C258,Table1[#All],3,FALSE)</f>
        <v>Asia</v>
      </c>
      <c r="J258" t="str">
        <f>VLOOKUP(C258,Table1[#All],4,FALSE)</f>
        <v>Consumer</v>
      </c>
      <c r="K258" t="str">
        <f>TEXT(Table13[[#This Row],[Order_Date]],"mmm-yyyy")</f>
        <v>Aug-2023</v>
      </c>
    </row>
    <row r="259" spans="1:11" x14ac:dyDescent="0.3">
      <c r="A259" t="s">
        <v>1240</v>
      </c>
      <c r="B259" s="1">
        <v>45292</v>
      </c>
      <c r="C259" t="s">
        <v>522</v>
      </c>
      <c r="D259" t="s">
        <v>995</v>
      </c>
      <c r="E259">
        <v>1462.02</v>
      </c>
      <c r="F259">
        <v>7</v>
      </c>
      <c r="G259">
        <v>3</v>
      </c>
      <c r="H259">
        <v>0</v>
      </c>
      <c r="I259" t="str">
        <f>VLOOKUP(C259,Table1[#All],3,FALSE)</f>
        <v>South America</v>
      </c>
      <c r="J259" t="str">
        <f>VLOOKUP(C259,Table1[#All],4,FALSE)</f>
        <v>Corporate</v>
      </c>
      <c r="K259" t="str">
        <f>TEXT(Table13[[#This Row],[Order_Date]],"mmm-yyyy")</f>
        <v>Jan-2024</v>
      </c>
    </row>
    <row r="260" spans="1:11" x14ac:dyDescent="0.3">
      <c r="A260" t="s">
        <v>1239</v>
      </c>
      <c r="B260" s="1">
        <v>45620</v>
      </c>
      <c r="C260" t="s">
        <v>524</v>
      </c>
      <c r="D260" t="s">
        <v>995</v>
      </c>
      <c r="E260">
        <v>3766.1039999999998</v>
      </c>
      <c r="F260">
        <v>12</v>
      </c>
      <c r="G260">
        <v>-22</v>
      </c>
      <c r="H260">
        <v>0.05</v>
      </c>
      <c r="I260" t="str">
        <f>VLOOKUP(C260,Table1[#All],3,FALSE)</f>
        <v>South America</v>
      </c>
      <c r="J260" t="str">
        <f>VLOOKUP(C260,Table1[#All],4,FALSE)</f>
        <v>Corporate</v>
      </c>
      <c r="K260" t="str">
        <f>TEXT(Table13[[#This Row],[Order_Date]],"mmm-yyyy")</f>
        <v>Nov-2024</v>
      </c>
    </row>
    <row r="261" spans="1:11" x14ac:dyDescent="0.3">
      <c r="A261" t="s">
        <v>1238</v>
      </c>
      <c r="B261" s="1">
        <v>45529</v>
      </c>
      <c r="C261" t="s">
        <v>526</v>
      </c>
      <c r="D261" t="s">
        <v>995</v>
      </c>
      <c r="E261">
        <v>299.04700000000003</v>
      </c>
      <c r="F261">
        <v>7</v>
      </c>
      <c r="G261">
        <v>6</v>
      </c>
      <c r="H261">
        <v>0.15</v>
      </c>
      <c r="I261" t="str">
        <f>VLOOKUP(C261,Table1[#All],3,FALSE)</f>
        <v>South America</v>
      </c>
      <c r="J261" t="str">
        <f>VLOOKUP(C261,Table1[#All],4,FALSE)</f>
        <v>Consumer</v>
      </c>
      <c r="K261" t="str">
        <f>TEXT(Table13[[#This Row],[Order_Date]],"mmm-yyyy")</f>
        <v>Aug-2024</v>
      </c>
    </row>
    <row r="262" spans="1:11" x14ac:dyDescent="0.3">
      <c r="A262" t="s">
        <v>1237</v>
      </c>
      <c r="B262" s="1">
        <v>45205</v>
      </c>
      <c r="C262" t="s">
        <v>528</v>
      </c>
      <c r="D262" t="s">
        <v>1000</v>
      </c>
      <c r="E262">
        <v>636.803</v>
      </c>
      <c r="F262">
        <v>2</v>
      </c>
      <c r="G262">
        <v>-192</v>
      </c>
      <c r="H262">
        <v>0.15</v>
      </c>
      <c r="I262" t="str">
        <f>VLOOKUP(C262,Table1[#All],3,FALSE)</f>
        <v>South America</v>
      </c>
      <c r="J262" t="str">
        <f>VLOOKUP(C262,Table1[#All],4,FALSE)</f>
        <v>Consumer</v>
      </c>
      <c r="K262" t="str">
        <f>TEXT(Table13[[#This Row],[Order_Date]],"mmm-yyyy")</f>
        <v>Oct-2023</v>
      </c>
    </row>
    <row r="263" spans="1:11" x14ac:dyDescent="0.3">
      <c r="A263" t="s">
        <v>1236</v>
      </c>
      <c r="B263" s="1">
        <v>45644</v>
      </c>
      <c r="C263" t="s">
        <v>530</v>
      </c>
      <c r="D263" t="s">
        <v>997</v>
      </c>
      <c r="E263">
        <v>2945.88</v>
      </c>
      <c r="F263">
        <v>7</v>
      </c>
      <c r="G263">
        <v>151</v>
      </c>
      <c r="H263">
        <v>0.1</v>
      </c>
      <c r="I263" t="str">
        <f>VLOOKUP(C263,Table1[#All],3,FALSE)</f>
        <v>North America</v>
      </c>
      <c r="J263" t="str">
        <f>VLOOKUP(C263,Table1[#All],4,FALSE)</f>
        <v>Consumer</v>
      </c>
      <c r="K263" t="str">
        <f>TEXT(Table13[[#This Row],[Order_Date]],"mmm-yyyy")</f>
        <v>Dec-2024</v>
      </c>
    </row>
    <row r="264" spans="1:11" x14ac:dyDescent="0.3">
      <c r="A264" t="s">
        <v>1235</v>
      </c>
      <c r="B264" s="1">
        <v>45166</v>
      </c>
      <c r="C264" t="s">
        <v>532</v>
      </c>
      <c r="D264" t="s">
        <v>995</v>
      </c>
      <c r="E264">
        <v>1072.2840000000001</v>
      </c>
      <c r="F264">
        <v>3</v>
      </c>
      <c r="G264">
        <v>-16</v>
      </c>
      <c r="H264">
        <v>0.05</v>
      </c>
      <c r="I264" t="str">
        <f>VLOOKUP(C264,Table1[#All],3,FALSE)</f>
        <v>Asia</v>
      </c>
      <c r="J264" t="str">
        <f>VLOOKUP(C264,Table1[#All],4,FALSE)</f>
        <v>Home Office</v>
      </c>
      <c r="K264" t="str">
        <f>TEXT(Table13[[#This Row],[Order_Date]],"mmm-yyyy")</f>
        <v>Aug-2023</v>
      </c>
    </row>
    <row r="265" spans="1:11" x14ac:dyDescent="0.3">
      <c r="A265" t="s">
        <v>1234</v>
      </c>
      <c r="B265" s="1">
        <v>44948</v>
      </c>
      <c r="C265" t="s">
        <v>534</v>
      </c>
      <c r="D265" t="s">
        <v>995</v>
      </c>
      <c r="E265">
        <v>1826.37</v>
      </c>
      <c r="F265">
        <v>13</v>
      </c>
      <c r="G265">
        <v>-5</v>
      </c>
      <c r="H265">
        <v>0</v>
      </c>
      <c r="I265" t="str">
        <f>VLOOKUP(C265,Table1[#All],3,FALSE)</f>
        <v>Europe</v>
      </c>
      <c r="J265" t="str">
        <f>VLOOKUP(C265,Table1[#All],4,FALSE)</f>
        <v>Consumer</v>
      </c>
      <c r="K265" t="str">
        <f>TEXT(Table13[[#This Row],[Order_Date]],"mmm-yyyy")</f>
        <v>Jan-2023</v>
      </c>
    </row>
    <row r="266" spans="1:11" x14ac:dyDescent="0.3">
      <c r="A266" t="s">
        <v>1233</v>
      </c>
      <c r="B266" s="1">
        <v>45109</v>
      </c>
      <c r="C266" t="s">
        <v>536</v>
      </c>
      <c r="D266" t="s">
        <v>997</v>
      </c>
      <c r="E266">
        <v>1291.1415</v>
      </c>
      <c r="F266">
        <v>3</v>
      </c>
      <c r="G266">
        <v>234</v>
      </c>
      <c r="H266">
        <v>0.15</v>
      </c>
      <c r="I266" t="str">
        <f>VLOOKUP(C266,Table1[#All],3,FALSE)</f>
        <v>North America</v>
      </c>
      <c r="J266" t="str">
        <f>VLOOKUP(C266,Table1[#All],4,FALSE)</f>
        <v>Consumer</v>
      </c>
      <c r="K266" t="str">
        <f>TEXT(Table13[[#This Row],[Order_Date]],"mmm-yyyy")</f>
        <v>Jul-2023</v>
      </c>
    </row>
    <row r="267" spans="1:11" x14ac:dyDescent="0.3">
      <c r="A267" t="s">
        <v>1232</v>
      </c>
      <c r="B267" s="1">
        <v>45252</v>
      </c>
      <c r="C267" t="s">
        <v>538</v>
      </c>
      <c r="D267" t="s">
        <v>995</v>
      </c>
      <c r="E267">
        <v>1054.348</v>
      </c>
      <c r="F267">
        <v>8</v>
      </c>
      <c r="G267">
        <v>68</v>
      </c>
      <c r="H267">
        <v>0.05</v>
      </c>
      <c r="I267" t="str">
        <f>VLOOKUP(C267,Table1[#All],3,FALSE)</f>
        <v>South America</v>
      </c>
      <c r="J267" t="str">
        <f>VLOOKUP(C267,Table1[#All],4,FALSE)</f>
        <v>Home Office</v>
      </c>
      <c r="K267" t="str">
        <f>TEXT(Table13[[#This Row],[Order_Date]],"mmm-yyyy")</f>
        <v>Nov-2023</v>
      </c>
    </row>
    <row r="268" spans="1:11" x14ac:dyDescent="0.3">
      <c r="A268" t="s">
        <v>1231</v>
      </c>
      <c r="B268" s="1">
        <v>44951</v>
      </c>
      <c r="C268" t="s">
        <v>540</v>
      </c>
      <c r="D268" t="s">
        <v>995</v>
      </c>
      <c r="E268">
        <v>686.10299999999995</v>
      </c>
      <c r="F268">
        <v>6</v>
      </c>
      <c r="G268">
        <v>13</v>
      </c>
      <c r="H268">
        <v>0.15</v>
      </c>
      <c r="I268" t="str">
        <f>VLOOKUP(C268,Table1[#All],3,FALSE)</f>
        <v>Europe</v>
      </c>
      <c r="J268" t="str">
        <f>VLOOKUP(C268,Table1[#All],4,FALSE)</f>
        <v>Corporate</v>
      </c>
      <c r="K268" t="str">
        <f>TEXT(Table13[[#This Row],[Order_Date]],"mmm-yyyy")</f>
        <v>Jan-2023</v>
      </c>
    </row>
    <row r="269" spans="1:11" x14ac:dyDescent="0.3">
      <c r="A269" t="s">
        <v>1230</v>
      </c>
      <c r="B269" s="1">
        <v>45780</v>
      </c>
      <c r="C269" t="s">
        <v>542</v>
      </c>
      <c r="D269" t="s">
        <v>995</v>
      </c>
      <c r="E269">
        <v>6428.9160000000002</v>
      </c>
      <c r="F269">
        <v>18</v>
      </c>
      <c r="G269">
        <v>-13</v>
      </c>
      <c r="H269">
        <v>0.05</v>
      </c>
      <c r="I269" t="str">
        <f>VLOOKUP(C269,Table1[#All],3,FALSE)</f>
        <v>South America</v>
      </c>
      <c r="J269" t="str">
        <f>VLOOKUP(C269,Table1[#All],4,FALSE)</f>
        <v>Consumer</v>
      </c>
      <c r="K269" t="str">
        <f>TEXT(Table13[[#This Row],[Order_Date]],"mmm-yyyy")</f>
        <v>May-2025</v>
      </c>
    </row>
    <row r="270" spans="1:11" x14ac:dyDescent="0.3">
      <c r="A270" t="s">
        <v>1229</v>
      </c>
      <c r="B270" s="1">
        <v>44959</v>
      </c>
      <c r="C270" t="s">
        <v>544</v>
      </c>
      <c r="D270" t="s">
        <v>997</v>
      </c>
      <c r="E270">
        <v>4846.2299999999996</v>
      </c>
      <c r="F270">
        <v>10</v>
      </c>
      <c r="G270">
        <v>88</v>
      </c>
      <c r="H270">
        <v>0.1</v>
      </c>
      <c r="I270" t="str">
        <f>VLOOKUP(C270,Table1[#All],3,FALSE)</f>
        <v>North America</v>
      </c>
      <c r="J270" t="str">
        <f>VLOOKUP(C270,Table1[#All],4,FALSE)</f>
        <v>Consumer</v>
      </c>
      <c r="K270" t="str">
        <f>TEXT(Table13[[#This Row],[Order_Date]],"mmm-yyyy")</f>
        <v>Feb-2023</v>
      </c>
    </row>
    <row r="271" spans="1:11" x14ac:dyDescent="0.3">
      <c r="A271" t="s">
        <v>1228</v>
      </c>
      <c r="B271" s="1">
        <v>45070</v>
      </c>
      <c r="C271" t="s">
        <v>546</v>
      </c>
      <c r="D271" t="s">
        <v>995</v>
      </c>
      <c r="E271">
        <v>6823.44</v>
      </c>
      <c r="F271">
        <v>15</v>
      </c>
      <c r="G271">
        <v>144</v>
      </c>
      <c r="H271">
        <v>0.1</v>
      </c>
      <c r="I271" t="str">
        <f>VLOOKUP(C271,Table1[#All],3,FALSE)</f>
        <v>North America</v>
      </c>
      <c r="J271" t="str">
        <f>VLOOKUP(C271,Table1[#All],4,FALSE)</f>
        <v>Consumer</v>
      </c>
      <c r="K271" t="str">
        <f>TEXT(Table13[[#This Row],[Order_Date]],"mmm-yyyy")</f>
        <v>May-2023</v>
      </c>
    </row>
    <row r="272" spans="1:11" x14ac:dyDescent="0.3">
      <c r="A272" t="s">
        <v>1227</v>
      </c>
      <c r="B272" s="1">
        <v>45442</v>
      </c>
      <c r="C272" t="s">
        <v>90</v>
      </c>
      <c r="D272" t="s">
        <v>997</v>
      </c>
      <c r="E272">
        <v>1061.106</v>
      </c>
      <c r="F272">
        <v>4</v>
      </c>
      <c r="G272">
        <v>143</v>
      </c>
      <c r="H272">
        <v>0.15</v>
      </c>
      <c r="I272" t="str">
        <f>VLOOKUP(C272,Table1[#All],3,FALSE)</f>
        <v>Africa</v>
      </c>
      <c r="J272" t="str">
        <f>VLOOKUP(C272,Table1[#All],4,FALSE)</f>
        <v>Consumer</v>
      </c>
      <c r="K272" t="str">
        <f>TEXT(Table13[[#This Row],[Order_Date]],"mmm-yyyy")</f>
        <v>May-2024</v>
      </c>
    </row>
    <row r="273" spans="1:11" x14ac:dyDescent="0.3">
      <c r="A273" t="s">
        <v>1226</v>
      </c>
      <c r="B273" s="1">
        <v>45314</v>
      </c>
      <c r="C273" t="s">
        <v>549</v>
      </c>
      <c r="D273" t="s">
        <v>1000</v>
      </c>
      <c r="E273">
        <v>7389.6450000000004</v>
      </c>
      <c r="F273">
        <v>15</v>
      </c>
      <c r="G273">
        <v>84</v>
      </c>
      <c r="H273">
        <v>0.15</v>
      </c>
      <c r="I273" t="str">
        <f>VLOOKUP(C273,Table1[#All],3,FALSE)</f>
        <v>Europe</v>
      </c>
      <c r="J273" t="str">
        <f>VLOOKUP(C273,Table1[#All],4,FALSE)</f>
        <v>Corporate</v>
      </c>
      <c r="K273" t="str">
        <f>TEXT(Table13[[#This Row],[Order_Date]],"mmm-yyyy")</f>
        <v>Jan-2024</v>
      </c>
    </row>
    <row r="274" spans="1:11" x14ac:dyDescent="0.3">
      <c r="A274" t="s">
        <v>1225</v>
      </c>
      <c r="B274" s="1">
        <v>45079</v>
      </c>
      <c r="C274" t="s">
        <v>551</v>
      </c>
      <c r="D274" t="s">
        <v>995</v>
      </c>
      <c r="E274">
        <v>1848.155</v>
      </c>
      <c r="F274">
        <v>10</v>
      </c>
      <c r="G274">
        <v>-29</v>
      </c>
      <c r="H274">
        <v>0.15</v>
      </c>
      <c r="I274" t="str">
        <f>VLOOKUP(C274,Table1[#All],3,FALSE)</f>
        <v>North America</v>
      </c>
      <c r="J274" t="str">
        <f>VLOOKUP(C274,Table1[#All],4,FALSE)</f>
        <v>Home Office</v>
      </c>
      <c r="K274" t="str">
        <f>TEXT(Table13[[#This Row],[Order_Date]],"mmm-yyyy")</f>
        <v>Jun-2023</v>
      </c>
    </row>
    <row r="275" spans="1:11" x14ac:dyDescent="0.3">
      <c r="A275" t="s">
        <v>1224</v>
      </c>
      <c r="B275" s="1">
        <v>45488</v>
      </c>
      <c r="C275" t="s">
        <v>553</v>
      </c>
      <c r="D275" t="s">
        <v>997</v>
      </c>
      <c r="E275">
        <v>6785.1374999999998</v>
      </c>
      <c r="F275">
        <v>15</v>
      </c>
      <c r="G275">
        <v>107</v>
      </c>
      <c r="H275">
        <v>0.05</v>
      </c>
      <c r="I275" t="str">
        <f>VLOOKUP(C275,Table1[#All],3,FALSE)</f>
        <v>Europe</v>
      </c>
      <c r="J275" t="str">
        <f>VLOOKUP(C275,Table1[#All],4,FALSE)</f>
        <v>Consumer</v>
      </c>
      <c r="K275" t="str">
        <f>TEXT(Table13[[#This Row],[Order_Date]],"mmm-yyyy")</f>
        <v>Jul-2024</v>
      </c>
    </row>
    <row r="276" spans="1:11" x14ac:dyDescent="0.3">
      <c r="A276" t="s">
        <v>1223</v>
      </c>
      <c r="B276" s="1">
        <v>45811</v>
      </c>
      <c r="C276" t="s">
        <v>555</v>
      </c>
      <c r="D276" t="s">
        <v>995</v>
      </c>
      <c r="E276">
        <v>400.63499999999999</v>
      </c>
      <c r="F276">
        <v>5</v>
      </c>
      <c r="G276">
        <v>-100</v>
      </c>
      <c r="H276">
        <v>0.1</v>
      </c>
      <c r="I276" t="str">
        <f>VLOOKUP(C276,Table1[#All],3,FALSE)</f>
        <v>Asia</v>
      </c>
      <c r="J276" t="str">
        <f>VLOOKUP(C276,Table1[#All],4,FALSE)</f>
        <v>Corporate</v>
      </c>
      <c r="K276" t="str">
        <f>TEXT(Table13[[#This Row],[Order_Date]],"mmm-yyyy")</f>
        <v>Jun-2025</v>
      </c>
    </row>
    <row r="277" spans="1:11" x14ac:dyDescent="0.3">
      <c r="A277" t="s">
        <v>1222</v>
      </c>
      <c r="B277" s="1">
        <v>45136</v>
      </c>
      <c r="C277" t="s">
        <v>557</v>
      </c>
      <c r="D277" t="s">
        <v>1000</v>
      </c>
      <c r="E277">
        <v>105.264</v>
      </c>
      <c r="F277">
        <v>17</v>
      </c>
      <c r="G277">
        <v>-338</v>
      </c>
      <c r="H277">
        <v>0.1</v>
      </c>
      <c r="I277" t="str">
        <f>VLOOKUP(C277,Table1[#All],3,FALSE)</f>
        <v>Africa</v>
      </c>
      <c r="J277" t="str">
        <f>VLOOKUP(C277,Table1[#All],4,FALSE)</f>
        <v>Corporate</v>
      </c>
      <c r="K277" t="str">
        <f>TEXT(Table13[[#This Row],[Order_Date]],"mmm-yyyy")</f>
        <v>Jul-2023</v>
      </c>
    </row>
    <row r="278" spans="1:11" x14ac:dyDescent="0.3">
      <c r="A278" t="s">
        <v>1221</v>
      </c>
      <c r="B278" s="1">
        <v>45133</v>
      </c>
      <c r="C278" t="s">
        <v>559</v>
      </c>
      <c r="D278" t="s">
        <v>997</v>
      </c>
      <c r="E278">
        <v>1918.404</v>
      </c>
      <c r="F278">
        <v>6</v>
      </c>
      <c r="G278">
        <v>-47</v>
      </c>
      <c r="H278">
        <v>0.1</v>
      </c>
      <c r="I278" t="str">
        <f>VLOOKUP(C278,Table1[#All],3,FALSE)</f>
        <v>North America</v>
      </c>
      <c r="J278" t="str">
        <f>VLOOKUP(C278,Table1[#All],4,FALSE)</f>
        <v>Consumer</v>
      </c>
      <c r="K278" t="str">
        <f>TEXT(Table13[[#This Row],[Order_Date]],"mmm-yyyy")</f>
        <v>Jul-2023</v>
      </c>
    </row>
    <row r="279" spans="1:11" x14ac:dyDescent="0.3">
      <c r="A279" t="s">
        <v>1220</v>
      </c>
      <c r="B279" s="1">
        <v>45569</v>
      </c>
      <c r="C279" t="s">
        <v>561</v>
      </c>
      <c r="D279" t="s">
        <v>995</v>
      </c>
      <c r="E279">
        <v>2122.2719999999999</v>
      </c>
      <c r="F279">
        <v>8</v>
      </c>
      <c r="G279">
        <v>199</v>
      </c>
      <c r="H279">
        <v>0.1</v>
      </c>
      <c r="I279" t="str">
        <f>VLOOKUP(C279,Table1[#All],3,FALSE)</f>
        <v>Europe</v>
      </c>
      <c r="J279" t="str">
        <f>VLOOKUP(C279,Table1[#All],4,FALSE)</f>
        <v>Corporate</v>
      </c>
      <c r="K279" t="str">
        <f>TEXT(Table13[[#This Row],[Order_Date]],"mmm-yyyy")</f>
        <v>Oct-2024</v>
      </c>
    </row>
    <row r="280" spans="1:11" x14ac:dyDescent="0.3">
      <c r="A280" t="s">
        <v>1219</v>
      </c>
      <c r="B280" s="1">
        <v>45681</v>
      </c>
      <c r="C280" t="s">
        <v>563</v>
      </c>
      <c r="D280" t="s">
        <v>995</v>
      </c>
      <c r="E280">
        <v>971.04</v>
      </c>
      <c r="F280">
        <v>16</v>
      </c>
      <c r="G280">
        <v>-23</v>
      </c>
      <c r="H280">
        <v>0</v>
      </c>
      <c r="I280" t="str">
        <f>VLOOKUP(C280,Table1[#All],3,FALSE)</f>
        <v>North America</v>
      </c>
      <c r="J280" t="str">
        <f>VLOOKUP(C280,Table1[#All],4,FALSE)</f>
        <v>Home Office</v>
      </c>
      <c r="K280" t="str">
        <f>TEXT(Table13[[#This Row],[Order_Date]],"mmm-yyyy")</f>
        <v>Jan-2025</v>
      </c>
    </row>
    <row r="281" spans="1:11" x14ac:dyDescent="0.3">
      <c r="A281" t="s">
        <v>1218</v>
      </c>
      <c r="B281" s="1">
        <v>45774</v>
      </c>
      <c r="C281" t="s">
        <v>565</v>
      </c>
      <c r="D281" t="s">
        <v>995</v>
      </c>
      <c r="E281">
        <v>1007.3339999999999</v>
      </c>
      <c r="F281">
        <v>2</v>
      </c>
      <c r="G281">
        <v>10</v>
      </c>
      <c r="H281">
        <v>0.1</v>
      </c>
      <c r="I281" t="str">
        <f>VLOOKUP(C281,Table1[#All],3,FALSE)</f>
        <v>Europe</v>
      </c>
      <c r="J281" t="str">
        <f>VLOOKUP(C281,Table1[#All],4,FALSE)</f>
        <v>Corporate</v>
      </c>
      <c r="K281" t="str">
        <f>TEXT(Table13[[#This Row],[Order_Date]],"mmm-yyyy")</f>
        <v>Apr-2025</v>
      </c>
    </row>
    <row r="282" spans="1:11" x14ac:dyDescent="0.3">
      <c r="A282" t="s">
        <v>1217</v>
      </c>
      <c r="B282" s="1">
        <v>45708</v>
      </c>
      <c r="C282" t="s">
        <v>567</v>
      </c>
      <c r="D282" t="s">
        <v>1000</v>
      </c>
      <c r="E282">
        <v>837.57600000000002</v>
      </c>
      <c r="F282">
        <v>4</v>
      </c>
      <c r="G282">
        <v>108</v>
      </c>
      <c r="H282">
        <v>0.1</v>
      </c>
      <c r="I282" t="str">
        <f>VLOOKUP(C282,Table1[#All],3,FALSE)</f>
        <v>Asia</v>
      </c>
      <c r="J282" t="str">
        <f>VLOOKUP(C282,Table1[#All],4,FALSE)</f>
        <v>Corporate</v>
      </c>
      <c r="K282" t="str">
        <f>TEXT(Table13[[#This Row],[Order_Date]],"mmm-yyyy")</f>
        <v>Feb-2025</v>
      </c>
    </row>
    <row r="283" spans="1:11" x14ac:dyDescent="0.3">
      <c r="A283" t="s">
        <v>1216</v>
      </c>
      <c r="B283" s="1">
        <v>45183</v>
      </c>
      <c r="C283" t="s">
        <v>458</v>
      </c>
      <c r="D283" t="s">
        <v>997</v>
      </c>
      <c r="E283">
        <v>1962.395</v>
      </c>
      <c r="F283">
        <v>10</v>
      </c>
      <c r="G283">
        <v>-103</v>
      </c>
      <c r="H283">
        <v>0.15</v>
      </c>
      <c r="I283" t="str">
        <f>VLOOKUP(C283,Table1[#All],3,FALSE)</f>
        <v>North America</v>
      </c>
      <c r="J283" t="str">
        <f>VLOOKUP(C283,Table1[#All],4,FALSE)</f>
        <v>Home Office</v>
      </c>
      <c r="K283" t="str">
        <f>TEXT(Table13[[#This Row],[Order_Date]],"mmm-yyyy")</f>
        <v>Sep-2023</v>
      </c>
    </row>
    <row r="284" spans="1:11" x14ac:dyDescent="0.3">
      <c r="A284" t="s">
        <v>1215</v>
      </c>
      <c r="B284" s="1">
        <v>45399</v>
      </c>
      <c r="C284" t="s">
        <v>570</v>
      </c>
      <c r="D284" t="s">
        <v>1000</v>
      </c>
      <c r="E284">
        <v>2105.7049999999999</v>
      </c>
      <c r="F284">
        <v>7</v>
      </c>
      <c r="G284">
        <v>-8</v>
      </c>
      <c r="H284">
        <v>0.15</v>
      </c>
      <c r="I284" t="str">
        <f>VLOOKUP(C284,Table1[#All],3,FALSE)</f>
        <v>Europe</v>
      </c>
      <c r="J284" t="str">
        <f>VLOOKUP(C284,Table1[#All],4,FALSE)</f>
        <v>Home Office</v>
      </c>
      <c r="K284" t="str">
        <f>TEXT(Table13[[#This Row],[Order_Date]],"mmm-yyyy")</f>
        <v>Apr-2024</v>
      </c>
    </row>
    <row r="285" spans="1:11" x14ac:dyDescent="0.3">
      <c r="A285" t="s">
        <v>1214</v>
      </c>
      <c r="B285" s="1">
        <v>45610</v>
      </c>
      <c r="C285" t="s">
        <v>572</v>
      </c>
      <c r="D285" t="s">
        <v>995</v>
      </c>
      <c r="E285">
        <v>6732.84</v>
      </c>
      <c r="F285">
        <v>12</v>
      </c>
      <c r="G285">
        <v>41</v>
      </c>
      <c r="H285">
        <v>0</v>
      </c>
      <c r="I285" t="str">
        <f>VLOOKUP(C285,Table1[#All],3,FALSE)</f>
        <v>Africa</v>
      </c>
      <c r="J285" t="str">
        <f>VLOOKUP(C285,Table1[#All],4,FALSE)</f>
        <v>Home Office</v>
      </c>
      <c r="K285" t="str">
        <f>TEXT(Table13[[#This Row],[Order_Date]],"mmm-yyyy")</f>
        <v>Nov-2024</v>
      </c>
    </row>
    <row r="286" spans="1:11" x14ac:dyDescent="0.3">
      <c r="A286" t="s">
        <v>1213</v>
      </c>
      <c r="B286" s="1">
        <v>45498</v>
      </c>
      <c r="C286" t="s">
        <v>574</v>
      </c>
      <c r="D286" t="s">
        <v>997</v>
      </c>
      <c r="E286">
        <v>3337.335</v>
      </c>
      <c r="F286">
        <v>15</v>
      </c>
      <c r="G286">
        <v>57</v>
      </c>
      <c r="H286">
        <v>0.1</v>
      </c>
      <c r="I286" t="str">
        <f>VLOOKUP(C286,Table1[#All],3,FALSE)</f>
        <v>North America</v>
      </c>
      <c r="J286" t="str">
        <f>VLOOKUP(C286,Table1[#All],4,FALSE)</f>
        <v>Consumer</v>
      </c>
      <c r="K286" t="str">
        <f>TEXT(Table13[[#This Row],[Order_Date]],"mmm-yyyy")</f>
        <v>Jul-2024</v>
      </c>
    </row>
    <row r="287" spans="1:11" x14ac:dyDescent="0.3">
      <c r="A287" t="s">
        <v>1212</v>
      </c>
      <c r="B287" s="1">
        <v>45420</v>
      </c>
      <c r="C287" t="s">
        <v>576</v>
      </c>
      <c r="D287" t="s">
        <v>1000</v>
      </c>
      <c r="E287">
        <v>4637.8620000000001</v>
      </c>
      <c r="F287">
        <v>19</v>
      </c>
      <c r="G287">
        <v>71</v>
      </c>
      <c r="H287">
        <v>0.1</v>
      </c>
      <c r="I287" t="str">
        <f>VLOOKUP(C287,Table1[#All],3,FALSE)</f>
        <v>Asia</v>
      </c>
      <c r="J287" t="str">
        <f>VLOOKUP(C287,Table1[#All],4,FALSE)</f>
        <v>Home Office</v>
      </c>
      <c r="K287" t="str">
        <f>TEXT(Table13[[#This Row],[Order_Date]],"mmm-yyyy")</f>
        <v>May-2024</v>
      </c>
    </row>
    <row r="288" spans="1:11" x14ac:dyDescent="0.3">
      <c r="A288" t="s">
        <v>1211</v>
      </c>
      <c r="B288" s="1">
        <v>45680</v>
      </c>
      <c r="C288" t="s">
        <v>578</v>
      </c>
      <c r="D288" t="s">
        <v>995</v>
      </c>
      <c r="E288">
        <v>3195.24</v>
      </c>
      <c r="F288">
        <v>6</v>
      </c>
      <c r="G288">
        <v>4</v>
      </c>
      <c r="H288">
        <v>0</v>
      </c>
      <c r="I288" t="str">
        <f>VLOOKUP(C288,Table1[#All],3,FALSE)</f>
        <v>Europe</v>
      </c>
      <c r="J288" t="str">
        <f>VLOOKUP(C288,Table1[#All],4,FALSE)</f>
        <v>Home Office</v>
      </c>
      <c r="K288" t="str">
        <f>TEXT(Table13[[#This Row],[Order_Date]],"mmm-yyyy")</f>
        <v>Jan-2025</v>
      </c>
    </row>
    <row r="289" spans="1:11" x14ac:dyDescent="0.3">
      <c r="A289" t="s">
        <v>1210</v>
      </c>
      <c r="B289" s="1">
        <v>45774</v>
      </c>
      <c r="C289" t="s">
        <v>580</v>
      </c>
      <c r="D289" t="s">
        <v>997</v>
      </c>
      <c r="E289">
        <v>4481.7439999999997</v>
      </c>
      <c r="F289">
        <v>16</v>
      </c>
      <c r="G289">
        <v>50</v>
      </c>
      <c r="H289">
        <v>0.15</v>
      </c>
      <c r="I289" t="str">
        <f>VLOOKUP(C289,Table1[#All],3,FALSE)</f>
        <v>Europe</v>
      </c>
      <c r="J289" t="str">
        <f>VLOOKUP(C289,Table1[#All],4,FALSE)</f>
        <v>Home Office</v>
      </c>
      <c r="K289" t="str">
        <f>TEXT(Table13[[#This Row],[Order_Date]],"mmm-yyyy")</f>
        <v>Apr-2025</v>
      </c>
    </row>
    <row r="290" spans="1:11" x14ac:dyDescent="0.3">
      <c r="A290" t="s">
        <v>1209</v>
      </c>
      <c r="B290" s="1">
        <v>45555</v>
      </c>
      <c r="C290" t="s">
        <v>582</v>
      </c>
      <c r="D290" t="s">
        <v>995</v>
      </c>
      <c r="E290">
        <v>1020.6</v>
      </c>
      <c r="F290">
        <v>6</v>
      </c>
      <c r="G290">
        <v>7</v>
      </c>
      <c r="H290">
        <v>0</v>
      </c>
      <c r="I290" t="str">
        <f>VLOOKUP(C290,Table1[#All],3,FALSE)</f>
        <v>South America</v>
      </c>
      <c r="J290" t="str">
        <f>VLOOKUP(C290,Table1[#All],4,FALSE)</f>
        <v>Consumer</v>
      </c>
      <c r="K290" t="str">
        <f>TEXT(Table13[[#This Row],[Order_Date]],"mmm-yyyy")</f>
        <v>Sep-2024</v>
      </c>
    </row>
    <row r="291" spans="1:11" x14ac:dyDescent="0.3">
      <c r="A291" t="s">
        <v>1208</v>
      </c>
      <c r="B291" s="1">
        <v>45147</v>
      </c>
      <c r="C291" t="s">
        <v>584</v>
      </c>
      <c r="D291" t="s">
        <v>997</v>
      </c>
      <c r="E291">
        <v>3437.2044999999998</v>
      </c>
      <c r="F291">
        <v>19</v>
      </c>
      <c r="G291">
        <v>-15</v>
      </c>
      <c r="H291">
        <v>0.15</v>
      </c>
      <c r="I291" t="str">
        <f>VLOOKUP(C291,Table1[#All],3,FALSE)</f>
        <v>Europe</v>
      </c>
      <c r="J291" t="str">
        <f>VLOOKUP(C291,Table1[#All],4,FALSE)</f>
        <v>Consumer</v>
      </c>
      <c r="K291" t="str">
        <f>TEXT(Table13[[#This Row],[Order_Date]],"mmm-yyyy")</f>
        <v>Aug-2023</v>
      </c>
    </row>
    <row r="292" spans="1:11" x14ac:dyDescent="0.3">
      <c r="A292" t="s">
        <v>1207</v>
      </c>
      <c r="B292" s="1">
        <v>45767</v>
      </c>
      <c r="C292" t="s">
        <v>586</v>
      </c>
      <c r="D292" t="s">
        <v>995</v>
      </c>
      <c r="E292">
        <v>2894.6</v>
      </c>
      <c r="F292">
        <v>5</v>
      </c>
      <c r="G292">
        <v>114</v>
      </c>
      <c r="H292">
        <v>0</v>
      </c>
      <c r="I292" t="str">
        <f>VLOOKUP(C292,Table1[#All],3,FALSE)</f>
        <v>South America</v>
      </c>
      <c r="J292" t="str">
        <f>VLOOKUP(C292,Table1[#All],4,FALSE)</f>
        <v>Corporate</v>
      </c>
      <c r="K292" t="str">
        <f>TEXT(Table13[[#This Row],[Order_Date]],"mmm-yyyy")</f>
        <v>Apr-2025</v>
      </c>
    </row>
    <row r="293" spans="1:11" x14ac:dyDescent="0.3">
      <c r="A293" t="s">
        <v>1206</v>
      </c>
      <c r="B293" s="1">
        <v>45463</v>
      </c>
      <c r="C293" t="s">
        <v>588</v>
      </c>
      <c r="D293" t="s">
        <v>995</v>
      </c>
      <c r="E293">
        <v>1233.684</v>
      </c>
      <c r="F293">
        <v>3</v>
      </c>
      <c r="G293">
        <v>6</v>
      </c>
      <c r="H293">
        <v>0.1</v>
      </c>
      <c r="I293" t="str">
        <f>VLOOKUP(C293,Table1[#All],3,FALSE)</f>
        <v>North America</v>
      </c>
      <c r="J293" t="str">
        <f>VLOOKUP(C293,Table1[#All],4,FALSE)</f>
        <v>Corporate</v>
      </c>
      <c r="K293" t="str">
        <f>TEXT(Table13[[#This Row],[Order_Date]],"mmm-yyyy")</f>
        <v>Jun-2024</v>
      </c>
    </row>
    <row r="294" spans="1:11" x14ac:dyDescent="0.3">
      <c r="A294" t="s">
        <v>1205</v>
      </c>
      <c r="B294" s="1">
        <v>45231</v>
      </c>
      <c r="C294" t="s">
        <v>590</v>
      </c>
      <c r="D294" t="s">
        <v>995</v>
      </c>
      <c r="E294">
        <v>6258.36</v>
      </c>
      <c r="F294">
        <v>12</v>
      </c>
      <c r="G294">
        <v>32</v>
      </c>
      <c r="H294">
        <v>0</v>
      </c>
      <c r="I294" t="str">
        <f>VLOOKUP(C294,Table1[#All],3,FALSE)</f>
        <v>Asia</v>
      </c>
      <c r="J294" t="str">
        <f>VLOOKUP(C294,Table1[#All],4,FALSE)</f>
        <v>Consumer</v>
      </c>
      <c r="K294" t="str">
        <f>TEXT(Table13[[#This Row],[Order_Date]],"mmm-yyyy")</f>
        <v>Nov-2023</v>
      </c>
    </row>
    <row r="295" spans="1:11" x14ac:dyDescent="0.3">
      <c r="A295" t="s">
        <v>1204</v>
      </c>
      <c r="B295" s="1">
        <v>45023</v>
      </c>
      <c r="C295" t="s">
        <v>592</v>
      </c>
      <c r="D295" t="s">
        <v>997</v>
      </c>
      <c r="E295">
        <v>7561.2685000000001</v>
      </c>
      <c r="F295">
        <v>17</v>
      </c>
      <c r="G295">
        <v>-6</v>
      </c>
      <c r="H295">
        <v>0.05</v>
      </c>
      <c r="I295" t="str">
        <f>VLOOKUP(C295,Table1[#All],3,FALSE)</f>
        <v>North America</v>
      </c>
      <c r="J295" t="str">
        <f>VLOOKUP(C295,Table1[#All],4,FALSE)</f>
        <v>Home Office</v>
      </c>
      <c r="K295" t="str">
        <f>TEXT(Table13[[#This Row],[Order_Date]],"mmm-yyyy")</f>
        <v>Apr-2023</v>
      </c>
    </row>
    <row r="296" spans="1:11" x14ac:dyDescent="0.3">
      <c r="A296" t="s">
        <v>1203</v>
      </c>
      <c r="B296" s="1">
        <v>45872</v>
      </c>
      <c r="C296" t="s">
        <v>594</v>
      </c>
      <c r="D296" t="s">
        <v>997</v>
      </c>
      <c r="E296">
        <v>67.396500000000003</v>
      </c>
      <c r="F296">
        <v>9</v>
      </c>
      <c r="G296">
        <v>-33</v>
      </c>
      <c r="H296">
        <v>0.15</v>
      </c>
      <c r="I296" t="str">
        <f>VLOOKUP(C296,Table1[#All],3,FALSE)</f>
        <v>Africa</v>
      </c>
      <c r="J296" t="str">
        <f>VLOOKUP(C296,Table1[#All],4,FALSE)</f>
        <v>Consumer</v>
      </c>
      <c r="K296" t="str">
        <f>TEXT(Table13[[#This Row],[Order_Date]],"mmm-yyyy")</f>
        <v>Aug-2025</v>
      </c>
    </row>
    <row r="297" spans="1:11" x14ac:dyDescent="0.3">
      <c r="A297" t="s">
        <v>1202</v>
      </c>
      <c r="B297" s="1">
        <v>45932</v>
      </c>
      <c r="C297" t="s">
        <v>596</v>
      </c>
      <c r="D297" t="s">
        <v>995</v>
      </c>
      <c r="E297">
        <v>2657.61</v>
      </c>
      <c r="F297">
        <v>6</v>
      </c>
      <c r="G297">
        <v>-12</v>
      </c>
      <c r="H297">
        <v>0.15</v>
      </c>
      <c r="I297" t="str">
        <f>VLOOKUP(C297,Table1[#All],3,FALSE)</f>
        <v>South America</v>
      </c>
      <c r="J297" t="str">
        <f>VLOOKUP(C297,Table1[#All],4,FALSE)</f>
        <v>Corporate</v>
      </c>
      <c r="K297" t="str">
        <f>TEXT(Table13[[#This Row],[Order_Date]],"mmm-yyyy")</f>
        <v>Oct-2025</v>
      </c>
    </row>
    <row r="298" spans="1:11" x14ac:dyDescent="0.3">
      <c r="A298" t="s">
        <v>1201</v>
      </c>
      <c r="B298" s="1">
        <v>45733</v>
      </c>
      <c r="C298" t="s">
        <v>598</v>
      </c>
      <c r="D298" t="s">
        <v>995</v>
      </c>
      <c r="E298">
        <v>2609.19</v>
      </c>
      <c r="F298">
        <v>10</v>
      </c>
      <c r="G298">
        <v>36</v>
      </c>
      <c r="H298">
        <v>0.1</v>
      </c>
      <c r="I298" t="str">
        <f>VLOOKUP(C298,Table1[#All],3,FALSE)</f>
        <v>Europe</v>
      </c>
      <c r="J298" t="str">
        <f>VLOOKUP(C298,Table1[#All],4,FALSE)</f>
        <v>Corporate</v>
      </c>
      <c r="K298" t="str">
        <f>TEXT(Table13[[#This Row],[Order_Date]],"mmm-yyyy")</f>
        <v>Mar-2025</v>
      </c>
    </row>
    <row r="299" spans="1:11" x14ac:dyDescent="0.3">
      <c r="A299" t="s">
        <v>1200</v>
      </c>
      <c r="B299" s="1">
        <v>45180</v>
      </c>
      <c r="C299" t="s">
        <v>600</v>
      </c>
      <c r="D299" t="s">
        <v>1000</v>
      </c>
      <c r="E299">
        <v>405.46949999999998</v>
      </c>
      <c r="F299">
        <v>3</v>
      </c>
      <c r="G299">
        <v>-312</v>
      </c>
      <c r="H299">
        <v>0.05</v>
      </c>
      <c r="I299" t="str">
        <f>VLOOKUP(C299,Table1[#All],3,FALSE)</f>
        <v>Asia</v>
      </c>
      <c r="J299" t="str">
        <f>VLOOKUP(C299,Table1[#All],4,FALSE)</f>
        <v>Consumer</v>
      </c>
      <c r="K299" t="str">
        <f>TEXT(Table13[[#This Row],[Order_Date]],"mmm-yyyy")</f>
        <v>Sep-2023</v>
      </c>
    </row>
    <row r="300" spans="1:11" x14ac:dyDescent="0.3">
      <c r="A300" t="s">
        <v>1199</v>
      </c>
      <c r="B300" s="1">
        <v>45260</v>
      </c>
      <c r="C300" t="s">
        <v>602</v>
      </c>
      <c r="D300" t="s">
        <v>997</v>
      </c>
      <c r="E300">
        <v>5045.7825000000003</v>
      </c>
      <c r="F300">
        <v>15</v>
      </c>
      <c r="G300">
        <v>25</v>
      </c>
      <c r="H300">
        <v>0.05</v>
      </c>
      <c r="I300" t="str">
        <f>VLOOKUP(C300,Table1[#All],3,FALSE)</f>
        <v>Africa</v>
      </c>
      <c r="J300" t="str">
        <f>VLOOKUP(C300,Table1[#All],4,FALSE)</f>
        <v>Corporate</v>
      </c>
      <c r="K300" t="str">
        <f>TEXT(Table13[[#This Row],[Order_Date]],"mmm-yyyy")</f>
        <v>Nov-2023</v>
      </c>
    </row>
    <row r="301" spans="1:11" x14ac:dyDescent="0.3">
      <c r="A301" t="s">
        <v>1198</v>
      </c>
      <c r="B301" s="1">
        <v>45519</v>
      </c>
      <c r="C301" t="s">
        <v>604</v>
      </c>
      <c r="D301" t="s">
        <v>997</v>
      </c>
      <c r="E301">
        <v>7171.4</v>
      </c>
      <c r="F301">
        <v>20</v>
      </c>
      <c r="G301">
        <v>62</v>
      </c>
      <c r="H301">
        <v>0</v>
      </c>
      <c r="I301" t="str">
        <f>VLOOKUP(C301,Table1[#All],3,FALSE)</f>
        <v>South America</v>
      </c>
      <c r="J301" t="str">
        <f>VLOOKUP(C301,Table1[#All],4,FALSE)</f>
        <v>Corporate</v>
      </c>
      <c r="K301" t="str">
        <f>TEXT(Table13[[#This Row],[Order_Date]],"mmm-yyyy")</f>
        <v>Aug-2024</v>
      </c>
    </row>
    <row r="302" spans="1:11" x14ac:dyDescent="0.3">
      <c r="A302" t="s">
        <v>1197</v>
      </c>
      <c r="B302" s="1">
        <v>45006</v>
      </c>
      <c r="C302" t="s">
        <v>606</v>
      </c>
      <c r="D302" t="s">
        <v>1000</v>
      </c>
      <c r="E302">
        <v>504.33600000000001</v>
      </c>
      <c r="F302">
        <v>16</v>
      </c>
      <c r="G302">
        <v>72</v>
      </c>
      <c r="H302">
        <v>0.05</v>
      </c>
      <c r="I302" t="str">
        <f>VLOOKUP(C302,Table1[#All],3,FALSE)</f>
        <v>Europe</v>
      </c>
      <c r="J302" t="str">
        <f>VLOOKUP(C302,Table1[#All],4,FALSE)</f>
        <v>Corporate</v>
      </c>
      <c r="K302" t="str">
        <f>TEXT(Table13[[#This Row],[Order_Date]],"mmm-yyyy")</f>
        <v>Mar-2023</v>
      </c>
    </row>
    <row r="303" spans="1:11" x14ac:dyDescent="0.3">
      <c r="A303" t="s">
        <v>1196</v>
      </c>
      <c r="B303" s="1">
        <v>45225</v>
      </c>
      <c r="C303" t="s">
        <v>608</v>
      </c>
      <c r="D303" t="s">
        <v>995</v>
      </c>
      <c r="E303">
        <v>248.8</v>
      </c>
      <c r="F303">
        <v>2</v>
      </c>
      <c r="G303">
        <v>5</v>
      </c>
      <c r="H303">
        <v>0</v>
      </c>
      <c r="I303" t="str">
        <f>VLOOKUP(C303,Table1[#All],3,FALSE)</f>
        <v>Europe</v>
      </c>
      <c r="J303" t="str">
        <f>VLOOKUP(C303,Table1[#All],4,FALSE)</f>
        <v>Home Office</v>
      </c>
      <c r="K303" t="str">
        <f>TEXT(Table13[[#This Row],[Order_Date]],"mmm-yyyy")</f>
        <v>Oct-2023</v>
      </c>
    </row>
    <row r="304" spans="1:11" x14ac:dyDescent="0.3">
      <c r="A304" t="s">
        <v>1195</v>
      </c>
      <c r="B304" s="1">
        <v>44996</v>
      </c>
      <c r="C304" t="s">
        <v>610</v>
      </c>
      <c r="D304" t="s">
        <v>995</v>
      </c>
      <c r="E304">
        <v>191.80799999999999</v>
      </c>
      <c r="F304">
        <v>12</v>
      </c>
      <c r="G304">
        <v>-5</v>
      </c>
      <c r="H304">
        <v>0.1</v>
      </c>
      <c r="I304" t="str">
        <f>VLOOKUP(C304,Table1[#All],3,FALSE)</f>
        <v>Europe</v>
      </c>
      <c r="J304" t="str">
        <f>VLOOKUP(C304,Table1[#All],4,FALSE)</f>
        <v>Home Office</v>
      </c>
      <c r="K304" t="str">
        <f>TEXT(Table13[[#This Row],[Order_Date]],"mmm-yyyy")</f>
        <v>Mar-2023</v>
      </c>
    </row>
    <row r="305" spans="1:11" x14ac:dyDescent="0.3">
      <c r="A305" t="s">
        <v>1194</v>
      </c>
      <c r="B305" s="1">
        <v>45687</v>
      </c>
      <c r="C305" t="s">
        <v>612</v>
      </c>
      <c r="D305" t="s">
        <v>997</v>
      </c>
      <c r="E305">
        <v>4699.2079999999996</v>
      </c>
      <c r="F305">
        <v>16</v>
      </c>
      <c r="G305">
        <v>-200</v>
      </c>
      <c r="H305">
        <v>0.15</v>
      </c>
      <c r="I305" t="str">
        <f>VLOOKUP(C305,Table1[#All],3,FALSE)</f>
        <v>North America</v>
      </c>
      <c r="J305" t="str">
        <f>VLOOKUP(C305,Table1[#All],4,FALSE)</f>
        <v>Corporate</v>
      </c>
      <c r="K305" t="str">
        <f>TEXT(Table13[[#This Row],[Order_Date]],"mmm-yyyy")</f>
        <v>Jan-2025</v>
      </c>
    </row>
    <row r="306" spans="1:11" x14ac:dyDescent="0.3">
      <c r="A306" t="s">
        <v>1193</v>
      </c>
      <c r="B306" s="1">
        <v>45316</v>
      </c>
      <c r="C306" t="s">
        <v>614</v>
      </c>
      <c r="D306" t="s">
        <v>995</v>
      </c>
      <c r="E306">
        <v>5600.4780000000001</v>
      </c>
      <c r="F306">
        <v>13</v>
      </c>
      <c r="G306">
        <v>26</v>
      </c>
      <c r="H306">
        <v>0.05</v>
      </c>
      <c r="I306" t="str">
        <f>VLOOKUP(C306,Table1[#All],3,FALSE)</f>
        <v>Europe</v>
      </c>
      <c r="J306" t="str">
        <f>VLOOKUP(C306,Table1[#All],4,FALSE)</f>
        <v>Home Office</v>
      </c>
      <c r="K306" t="str">
        <f>TEXT(Table13[[#This Row],[Order_Date]],"mmm-yyyy")</f>
        <v>Jan-2024</v>
      </c>
    </row>
    <row r="307" spans="1:11" x14ac:dyDescent="0.3">
      <c r="A307" t="s">
        <v>1192</v>
      </c>
      <c r="B307" s="1">
        <v>45745</v>
      </c>
      <c r="C307" t="s">
        <v>616</v>
      </c>
      <c r="D307" t="s">
        <v>995</v>
      </c>
      <c r="E307">
        <v>2360.79</v>
      </c>
      <c r="F307">
        <v>10</v>
      </c>
      <c r="G307">
        <v>0</v>
      </c>
      <c r="H307">
        <v>0.15</v>
      </c>
      <c r="I307" t="str">
        <f>VLOOKUP(C307,Table1[#All],3,FALSE)</f>
        <v>South America</v>
      </c>
      <c r="J307" t="str">
        <f>VLOOKUP(C307,Table1[#All],4,FALSE)</f>
        <v>Consumer</v>
      </c>
      <c r="K307" t="str">
        <f>TEXT(Table13[[#This Row],[Order_Date]],"mmm-yyyy")</f>
        <v>Mar-2025</v>
      </c>
    </row>
    <row r="308" spans="1:11" x14ac:dyDescent="0.3">
      <c r="A308" t="s">
        <v>1191</v>
      </c>
      <c r="B308" s="1">
        <v>45333</v>
      </c>
      <c r="C308" t="s">
        <v>618</v>
      </c>
      <c r="D308" t="s">
        <v>995</v>
      </c>
      <c r="E308">
        <v>1436.16</v>
      </c>
      <c r="F308">
        <v>16</v>
      </c>
      <c r="G308">
        <v>17</v>
      </c>
      <c r="H308">
        <v>0</v>
      </c>
      <c r="I308" t="str">
        <f>VLOOKUP(C308,Table1[#All],3,FALSE)</f>
        <v>Africa</v>
      </c>
      <c r="J308" t="str">
        <f>VLOOKUP(C308,Table1[#All],4,FALSE)</f>
        <v>Home Office</v>
      </c>
      <c r="K308" t="str">
        <f>TEXT(Table13[[#This Row],[Order_Date]],"mmm-yyyy")</f>
        <v>Feb-2024</v>
      </c>
    </row>
    <row r="309" spans="1:11" x14ac:dyDescent="0.3">
      <c r="A309" t="s">
        <v>1190</v>
      </c>
      <c r="B309" s="1">
        <v>45473</v>
      </c>
      <c r="C309" t="s">
        <v>620</v>
      </c>
      <c r="D309" t="s">
        <v>1000</v>
      </c>
      <c r="E309">
        <v>5889.07</v>
      </c>
      <c r="F309">
        <v>11</v>
      </c>
      <c r="G309">
        <v>113</v>
      </c>
      <c r="H309">
        <v>0</v>
      </c>
      <c r="I309" t="str">
        <f>VLOOKUP(C309,Table1[#All],3,FALSE)</f>
        <v>Africa</v>
      </c>
      <c r="J309" t="str">
        <f>VLOOKUP(C309,Table1[#All],4,FALSE)</f>
        <v>Home Office</v>
      </c>
      <c r="K309" t="str">
        <f>TEXT(Table13[[#This Row],[Order_Date]],"mmm-yyyy")</f>
        <v>Jun-2024</v>
      </c>
    </row>
    <row r="310" spans="1:11" x14ac:dyDescent="0.3">
      <c r="A310" t="s">
        <v>1189</v>
      </c>
      <c r="B310" s="1">
        <v>45231</v>
      </c>
      <c r="C310" t="s">
        <v>622</v>
      </c>
      <c r="D310" t="s">
        <v>1000</v>
      </c>
      <c r="E310">
        <v>126.19799999999999</v>
      </c>
      <c r="F310">
        <v>9</v>
      </c>
      <c r="G310">
        <v>74</v>
      </c>
      <c r="H310">
        <v>0.1</v>
      </c>
      <c r="I310" t="str">
        <f>VLOOKUP(C310,Table1[#All],3,FALSE)</f>
        <v>South America</v>
      </c>
      <c r="J310" t="str">
        <f>VLOOKUP(C310,Table1[#All],4,FALSE)</f>
        <v>Home Office</v>
      </c>
      <c r="K310" t="str">
        <f>TEXT(Table13[[#This Row],[Order_Date]],"mmm-yyyy")</f>
        <v>Nov-2023</v>
      </c>
    </row>
    <row r="311" spans="1:11" x14ac:dyDescent="0.3">
      <c r="A311" t="s">
        <v>1188</v>
      </c>
      <c r="B311" s="1">
        <v>45783</v>
      </c>
      <c r="C311" t="s">
        <v>624</v>
      </c>
      <c r="D311" t="s">
        <v>995</v>
      </c>
      <c r="E311">
        <v>6065.02</v>
      </c>
      <c r="F311">
        <v>13</v>
      </c>
      <c r="G311">
        <v>7</v>
      </c>
      <c r="H311">
        <v>0</v>
      </c>
      <c r="I311" t="str">
        <f>VLOOKUP(C311,Table1[#All],3,FALSE)</f>
        <v>North America</v>
      </c>
      <c r="J311" t="str">
        <f>VLOOKUP(C311,Table1[#All],4,FALSE)</f>
        <v>Corporate</v>
      </c>
      <c r="K311" t="str">
        <f>TEXT(Table13[[#This Row],[Order_Date]],"mmm-yyyy")</f>
        <v>May-2025</v>
      </c>
    </row>
    <row r="312" spans="1:11" x14ac:dyDescent="0.3">
      <c r="A312" t="s">
        <v>1187</v>
      </c>
      <c r="B312" s="1">
        <v>45372</v>
      </c>
      <c r="C312" t="s">
        <v>626</v>
      </c>
      <c r="D312" t="s">
        <v>995</v>
      </c>
      <c r="E312">
        <v>8539.2000000000007</v>
      </c>
      <c r="F312">
        <v>16</v>
      </c>
      <c r="G312">
        <v>225</v>
      </c>
      <c r="H312">
        <v>0.1</v>
      </c>
      <c r="I312" t="str">
        <f>VLOOKUP(C312,Table1[#All],3,FALSE)</f>
        <v>North America</v>
      </c>
      <c r="J312" t="str">
        <f>VLOOKUP(C312,Table1[#All],4,FALSE)</f>
        <v>Home Office</v>
      </c>
      <c r="K312" t="str">
        <f>TEXT(Table13[[#This Row],[Order_Date]],"mmm-yyyy")</f>
        <v>Mar-2024</v>
      </c>
    </row>
    <row r="313" spans="1:11" x14ac:dyDescent="0.3">
      <c r="A313" t="s">
        <v>1186</v>
      </c>
      <c r="B313" s="1">
        <v>45169</v>
      </c>
      <c r="C313" t="s">
        <v>628</v>
      </c>
      <c r="D313" t="s">
        <v>995</v>
      </c>
      <c r="E313">
        <v>3233.9520000000002</v>
      </c>
      <c r="F313">
        <v>6</v>
      </c>
      <c r="G313">
        <v>17</v>
      </c>
      <c r="H313">
        <v>0.05</v>
      </c>
      <c r="I313" t="str">
        <f>VLOOKUP(C313,Table1[#All],3,FALSE)</f>
        <v>South America</v>
      </c>
      <c r="J313" t="str">
        <f>VLOOKUP(C313,Table1[#All],4,FALSE)</f>
        <v>Corporate</v>
      </c>
      <c r="K313" t="str">
        <f>TEXT(Table13[[#This Row],[Order_Date]],"mmm-yyyy")</f>
        <v>Aug-2023</v>
      </c>
    </row>
    <row r="314" spans="1:11" x14ac:dyDescent="0.3">
      <c r="A314" t="s">
        <v>1185</v>
      </c>
      <c r="B314" s="1">
        <v>45483</v>
      </c>
      <c r="C314" t="s">
        <v>630</v>
      </c>
      <c r="D314" t="s">
        <v>997</v>
      </c>
      <c r="E314">
        <v>8447.0959999999995</v>
      </c>
      <c r="F314">
        <v>17</v>
      </c>
      <c r="G314">
        <v>93</v>
      </c>
      <c r="H314">
        <v>0.05</v>
      </c>
      <c r="I314" t="str">
        <f>VLOOKUP(C314,Table1[#All],3,FALSE)</f>
        <v>South America</v>
      </c>
      <c r="J314" t="str">
        <f>VLOOKUP(C314,Table1[#All],4,FALSE)</f>
        <v>Consumer</v>
      </c>
      <c r="K314" t="str">
        <f>TEXT(Table13[[#This Row],[Order_Date]],"mmm-yyyy")</f>
        <v>Jul-2024</v>
      </c>
    </row>
    <row r="315" spans="1:11" x14ac:dyDescent="0.3">
      <c r="A315" t="s">
        <v>1184</v>
      </c>
      <c r="B315" s="1">
        <v>45264</v>
      </c>
      <c r="C315" t="s">
        <v>632</v>
      </c>
      <c r="D315" t="s">
        <v>997</v>
      </c>
      <c r="E315">
        <v>6398.8</v>
      </c>
      <c r="F315">
        <v>17</v>
      </c>
      <c r="G315">
        <v>-39</v>
      </c>
      <c r="H315">
        <v>0</v>
      </c>
      <c r="I315" t="str">
        <f>VLOOKUP(C315,Table1[#All],3,FALSE)</f>
        <v>North America</v>
      </c>
      <c r="J315" t="str">
        <f>VLOOKUP(C315,Table1[#All],4,FALSE)</f>
        <v>Home Office</v>
      </c>
      <c r="K315" t="str">
        <f>TEXT(Table13[[#This Row],[Order_Date]],"mmm-yyyy")</f>
        <v>Dec-2023</v>
      </c>
    </row>
    <row r="316" spans="1:11" x14ac:dyDescent="0.3">
      <c r="A316" t="s">
        <v>1183</v>
      </c>
      <c r="B316" s="1">
        <v>45088</v>
      </c>
      <c r="C316" t="s">
        <v>634</v>
      </c>
      <c r="D316" t="s">
        <v>995</v>
      </c>
      <c r="E316">
        <v>404.5575</v>
      </c>
      <c r="F316">
        <v>5</v>
      </c>
      <c r="G316">
        <v>119</v>
      </c>
      <c r="H316">
        <v>0.15</v>
      </c>
      <c r="I316" t="str">
        <f>VLOOKUP(C316,Table1[#All],3,FALSE)</f>
        <v>South America</v>
      </c>
      <c r="J316" t="str">
        <f>VLOOKUP(C316,Table1[#All],4,FALSE)</f>
        <v>Corporate</v>
      </c>
      <c r="K316" t="str">
        <f>TEXT(Table13[[#This Row],[Order_Date]],"mmm-yyyy")</f>
        <v>Jun-2023</v>
      </c>
    </row>
    <row r="317" spans="1:11" x14ac:dyDescent="0.3">
      <c r="A317" t="s">
        <v>1182</v>
      </c>
      <c r="B317" s="1">
        <v>45044</v>
      </c>
      <c r="C317" t="s">
        <v>636</v>
      </c>
      <c r="D317" t="s">
        <v>995</v>
      </c>
      <c r="E317">
        <v>358.20699999999999</v>
      </c>
      <c r="F317">
        <v>2</v>
      </c>
      <c r="G317">
        <v>-66</v>
      </c>
      <c r="H317">
        <v>0.15</v>
      </c>
      <c r="I317" t="str">
        <f>VLOOKUP(C317,Table1[#All],3,FALSE)</f>
        <v>Europe</v>
      </c>
      <c r="J317" t="str">
        <f>VLOOKUP(C317,Table1[#All],4,FALSE)</f>
        <v>Consumer</v>
      </c>
      <c r="K317" t="str">
        <f>TEXT(Table13[[#This Row],[Order_Date]],"mmm-yyyy")</f>
        <v>Apr-2023</v>
      </c>
    </row>
    <row r="318" spans="1:11" x14ac:dyDescent="0.3">
      <c r="A318" t="s">
        <v>1181</v>
      </c>
      <c r="B318" s="1">
        <v>45278</v>
      </c>
      <c r="C318" t="s">
        <v>638</v>
      </c>
      <c r="D318" t="s">
        <v>997</v>
      </c>
      <c r="E318">
        <v>2478.357</v>
      </c>
      <c r="F318">
        <v>7</v>
      </c>
      <c r="G318">
        <v>15</v>
      </c>
      <c r="H318">
        <v>0.1</v>
      </c>
      <c r="I318" t="str">
        <f>VLOOKUP(C318,Table1[#All],3,FALSE)</f>
        <v>Europe</v>
      </c>
      <c r="J318" t="str">
        <f>VLOOKUP(C318,Table1[#All],4,FALSE)</f>
        <v>Consumer</v>
      </c>
      <c r="K318" t="str">
        <f>TEXT(Table13[[#This Row],[Order_Date]],"mmm-yyyy")</f>
        <v>Dec-2023</v>
      </c>
    </row>
    <row r="319" spans="1:11" x14ac:dyDescent="0.3">
      <c r="A319" t="s">
        <v>1180</v>
      </c>
      <c r="B319" s="1">
        <v>45575</v>
      </c>
      <c r="C319" t="s">
        <v>640</v>
      </c>
      <c r="D319" t="s">
        <v>997</v>
      </c>
      <c r="E319">
        <v>1482.39</v>
      </c>
      <c r="F319">
        <v>13</v>
      </c>
      <c r="G319">
        <v>61</v>
      </c>
      <c r="H319">
        <v>0</v>
      </c>
      <c r="I319" t="str">
        <f>VLOOKUP(C319,Table1[#All],3,FALSE)</f>
        <v>South America</v>
      </c>
      <c r="J319" t="str">
        <f>VLOOKUP(C319,Table1[#All],4,FALSE)</f>
        <v>Corporate</v>
      </c>
      <c r="K319" t="str">
        <f>TEXT(Table13[[#This Row],[Order_Date]],"mmm-yyyy")</f>
        <v>Oct-2024</v>
      </c>
    </row>
    <row r="320" spans="1:11" x14ac:dyDescent="0.3">
      <c r="A320" t="s">
        <v>1179</v>
      </c>
      <c r="B320" s="1">
        <v>45048</v>
      </c>
      <c r="C320" t="s">
        <v>642</v>
      </c>
      <c r="D320" t="s">
        <v>997</v>
      </c>
      <c r="E320">
        <v>6056.64</v>
      </c>
      <c r="F320">
        <v>18</v>
      </c>
      <c r="G320">
        <v>128</v>
      </c>
      <c r="H320">
        <v>0</v>
      </c>
      <c r="I320" t="str">
        <f>VLOOKUP(C320,Table1[#All],3,FALSE)</f>
        <v>North America</v>
      </c>
      <c r="J320" t="str">
        <f>VLOOKUP(C320,Table1[#All],4,FALSE)</f>
        <v>Corporate</v>
      </c>
      <c r="K320" t="str">
        <f>TEXT(Table13[[#This Row],[Order_Date]],"mmm-yyyy")</f>
        <v>May-2023</v>
      </c>
    </row>
    <row r="321" spans="1:11" x14ac:dyDescent="0.3">
      <c r="A321" t="s">
        <v>1178</v>
      </c>
      <c r="B321" s="1">
        <v>45390</v>
      </c>
      <c r="C321" t="s">
        <v>644</v>
      </c>
      <c r="D321" t="s">
        <v>997</v>
      </c>
      <c r="E321">
        <v>186.96600000000001</v>
      </c>
      <c r="F321">
        <v>9</v>
      </c>
      <c r="G321">
        <v>3</v>
      </c>
      <c r="H321">
        <v>0.15</v>
      </c>
      <c r="I321" t="str">
        <f>VLOOKUP(C321,Table1[#All],3,FALSE)</f>
        <v>Africa</v>
      </c>
      <c r="J321" t="str">
        <f>VLOOKUP(C321,Table1[#All],4,FALSE)</f>
        <v>Corporate</v>
      </c>
      <c r="K321" t="str">
        <f>TEXT(Table13[[#This Row],[Order_Date]],"mmm-yyyy")</f>
        <v>Apr-2024</v>
      </c>
    </row>
    <row r="322" spans="1:11" x14ac:dyDescent="0.3">
      <c r="A322" t="s">
        <v>1177</v>
      </c>
      <c r="B322" s="1">
        <v>45588</v>
      </c>
      <c r="C322" t="s">
        <v>646</v>
      </c>
      <c r="D322" t="s">
        <v>997</v>
      </c>
      <c r="E322">
        <v>4015.08</v>
      </c>
      <c r="F322">
        <v>12</v>
      </c>
      <c r="G322">
        <v>-7</v>
      </c>
      <c r="H322">
        <v>0.05</v>
      </c>
      <c r="I322" t="str">
        <f>VLOOKUP(C322,Table1[#All],3,FALSE)</f>
        <v>Africa</v>
      </c>
      <c r="J322" t="str">
        <f>VLOOKUP(C322,Table1[#All],4,FALSE)</f>
        <v>Corporate</v>
      </c>
      <c r="K322" t="str">
        <f>TEXT(Table13[[#This Row],[Order_Date]],"mmm-yyyy")</f>
        <v>Oct-2024</v>
      </c>
    </row>
    <row r="323" spans="1:11" x14ac:dyDescent="0.3">
      <c r="A323" t="s">
        <v>1176</v>
      </c>
      <c r="B323" s="1">
        <v>45335</v>
      </c>
      <c r="C323" t="s">
        <v>648</v>
      </c>
      <c r="D323" t="s">
        <v>997</v>
      </c>
      <c r="E323">
        <v>2354.0335</v>
      </c>
      <c r="F323">
        <v>7</v>
      </c>
      <c r="G323">
        <v>-87</v>
      </c>
      <c r="H323">
        <v>0.05</v>
      </c>
      <c r="I323" t="str">
        <f>VLOOKUP(C323,Table1[#All],3,FALSE)</f>
        <v>Europe</v>
      </c>
      <c r="J323" t="str">
        <f>VLOOKUP(C323,Table1[#All],4,FALSE)</f>
        <v>Consumer</v>
      </c>
      <c r="K323" t="str">
        <f>TEXT(Table13[[#This Row],[Order_Date]],"mmm-yyyy")</f>
        <v>Feb-2024</v>
      </c>
    </row>
    <row r="324" spans="1:11" x14ac:dyDescent="0.3">
      <c r="A324" t="s">
        <v>1175</v>
      </c>
      <c r="B324" s="1">
        <v>45357</v>
      </c>
      <c r="C324" t="s">
        <v>650</v>
      </c>
      <c r="D324" t="s">
        <v>997</v>
      </c>
      <c r="E324">
        <v>153.30000000000001</v>
      </c>
      <c r="F324">
        <v>15</v>
      </c>
      <c r="G324">
        <v>91</v>
      </c>
      <c r="H324">
        <v>0</v>
      </c>
      <c r="I324" t="str">
        <f>VLOOKUP(C324,Table1[#All],3,FALSE)</f>
        <v>South America</v>
      </c>
      <c r="J324" t="str">
        <f>VLOOKUP(C324,Table1[#All],4,FALSE)</f>
        <v>Home Office</v>
      </c>
      <c r="K324" t="str">
        <f>TEXT(Table13[[#This Row],[Order_Date]],"mmm-yyyy")</f>
        <v>Mar-2024</v>
      </c>
    </row>
    <row r="325" spans="1:11" x14ac:dyDescent="0.3">
      <c r="A325" t="s">
        <v>1174</v>
      </c>
      <c r="B325" s="1">
        <v>45030</v>
      </c>
      <c r="C325" t="s">
        <v>652</v>
      </c>
      <c r="D325" t="s">
        <v>995</v>
      </c>
      <c r="E325">
        <v>6707.1120000000001</v>
      </c>
      <c r="F325">
        <v>17</v>
      </c>
      <c r="G325">
        <v>5</v>
      </c>
      <c r="H325">
        <v>0.15</v>
      </c>
      <c r="I325" t="str">
        <f>VLOOKUP(C325,Table1[#All],3,FALSE)</f>
        <v>South America</v>
      </c>
      <c r="J325" t="str">
        <f>VLOOKUP(C325,Table1[#All],4,FALSE)</f>
        <v>Consumer</v>
      </c>
      <c r="K325" t="str">
        <f>TEXT(Table13[[#This Row],[Order_Date]],"mmm-yyyy")</f>
        <v>Apr-2023</v>
      </c>
    </row>
    <row r="326" spans="1:11" x14ac:dyDescent="0.3">
      <c r="A326" t="s">
        <v>1173</v>
      </c>
      <c r="B326" s="1">
        <v>45584</v>
      </c>
      <c r="C326" t="s">
        <v>654</v>
      </c>
      <c r="D326" t="s">
        <v>995</v>
      </c>
      <c r="E326">
        <v>6631.9120000000003</v>
      </c>
      <c r="F326">
        <v>16</v>
      </c>
      <c r="G326">
        <v>2</v>
      </c>
      <c r="H326">
        <v>0.05</v>
      </c>
      <c r="I326" t="str">
        <f>VLOOKUP(C326,Table1[#All],3,FALSE)</f>
        <v>Africa</v>
      </c>
      <c r="J326" t="str">
        <f>VLOOKUP(C326,Table1[#All],4,FALSE)</f>
        <v>Corporate</v>
      </c>
      <c r="K326" t="str">
        <f>TEXT(Table13[[#This Row],[Order_Date]],"mmm-yyyy")</f>
        <v>Oct-2024</v>
      </c>
    </row>
    <row r="327" spans="1:11" x14ac:dyDescent="0.3">
      <c r="A327" t="s">
        <v>1172</v>
      </c>
      <c r="B327" s="1">
        <v>45278</v>
      </c>
      <c r="C327" t="s">
        <v>656</v>
      </c>
      <c r="D327" t="s">
        <v>995</v>
      </c>
      <c r="E327">
        <v>1880.4014999999999</v>
      </c>
      <c r="F327">
        <v>9</v>
      </c>
      <c r="G327">
        <v>-26</v>
      </c>
      <c r="H327">
        <v>0.05</v>
      </c>
      <c r="I327" t="str">
        <f>VLOOKUP(C327,Table1[#All],3,FALSE)</f>
        <v>South America</v>
      </c>
      <c r="J327" t="str">
        <f>VLOOKUP(C327,Table1[#All],4,FALSE)</f>
        <v>Corporate</v>
      </c>
      <c r="K327" t="str">
        <f>TEXT(Table13[[#This Row],[Order_Date]],"mmm-yyyy")</f>
        <v>Dec-2023</v>
      </c>
    </row>
    <row r="328" spans="1:11" x14ac:dyDescent="0.3">
      <c r="A328" t="s">
        <v>1171</v>
      </c>
      <c r="B328" s="1">
        <v>45169</v>
      </c>
      <c r="C328" t="s">
        <v>658</v>
      </c>
      <c r="D328" t="s">
        <v>995</v>
      </c>
      <c r="E328">
        <v>1322.6849999999999</v>
      </c>
      <c r="F328">
        <v>5</v>
      </c>
      <c r="G328">
        <v>16</v>
      </c>
      <c r="H328">
        <v>0.15</v>
      </c>
      <c r="I328" t="str">
        <f>VLOOKUP(C328,Table1[#All],3,FALSE)</f>
        <v>North America</v>
      </c>
      <c r="J328" t="str">
        <f>VLOOKUP(C328,Table1[#All],4,FALSE)</f>
        <v>Corporate</v>
      </c>
      <c r="K328" t="str">
        <f>TEXT(Table13[[#This Row],[Order_Date]],"mmm-yyyy")</f>
        <v>Aug-2023</v>
      </c>
    </row>
    <row r="329" spans="1:11" x14ac:dyDescent="0.3">
      <c r="A329" t="s">
        <v>1170</v>
      </c>
      <c r="B329" s="1">
        <v>45188</v>
      </c>
      <c r="C329" t="s">
        <v>660</v>
      </c>
      <c r="D329" t="s">
        <v>995</v>
      </c>
      <c r="E329">
        <v>1861.704</v>
      </c>
      <c r="F329">
        <v>4</v>
      </c>
      <c r="G329">
        <v>19</v>
      </c>
      <c r="H329">
        <v>0.15</v>
      </c>
      <c r="I329" t="str">
        <f>VLOOKUP(C329,Table1[#All],3,FALSE)</f>
        <v>South America</v>
      </c>
      <c r="J329" t="str">
        <f>VLOOKUP(C329,Table1[#All],4,FALSE)</f>
        <v>Home Office</v>
      </c>
      <c r="K329" t="str">
        <f>TEXT(Table13[[#This Row],[Order_Date]],"mmm-yyyy")</f>
        <v>Sep-2023</v>
      </c>
    </row>
    <row r="330" spans="1:11" x14ac:dyDescent="0.3">
      <c r="A330" t="s">
        <v>1169</v>
      </c>
      <c r="B330" s="1">
        <v>44984</v>
      </c>
      <c r="C330" t="s">
        <v>662</v>
      </c>
      <c r="D330" t="s">
        <v>995</v>
      </c>
      <c r="E330">
        <v>403.07850000000002</v>
      </c>
      <c r="F330">
        <v>9</v>
      </c>
      <c r="G330">
        <v>-63</v>
      </c>
      <c r="H330">
        <v>0.15</v>
      </c>
      <c r="I330" t="str">
        <f>VLOOKUP(C330,Table1[#All],3,FALSE)</f>
        <v>Africa</v>
      </c>
      <c r="J330" t="str">
        <f>VLOOKUP(C330,Table1[#All],4,FALSE)</f>
        <v>Corporate</v>
      </c>
      <c r="K330" t="str">
        <f>TEXT(Table13[[#This Row],[Order_Date]],"mmm-yyyy")</f>
        <v>Feb-2023</v>
      </c>
    </row>
    <row r="331" spans="1:11" x14ac:dyDescent="0.3">
      <c r="A331" t="s">
        <v>1168</v>
      </c>
      <c r="B331" s="1">
        <v>45319</v>
      </c>
      <c r="C331" t="s">
        <v>664</v>
      </c>
      <c r="D331" t="s">
        <v>1000</v>
      </c>
      <c r="E331">
        <v>3521.3939999999998</v>
      </c>
      <c r="F331">
        <v>9</v>
      </c>
      <c r="G331">
        <v>97</v>
      </c>
      <c r="H331">
        <v>0.1</v>
      </c>
      <c r="I331" t="str">
        <f>VLOOKUP(C331,Table1[#All],3,FALSE)</f>
        <v>South America</v>
      </c>
      <c r="J331" t="str">
        <f>VLOOKUP(C331,Table1[#All],4,FALSE)</f>
        <v>Consumer</v>
      </c>
      <c r="K331" t="str">
        <f>TEXT(Table13[[#This Row],[Order_Date]],"mmm-yyyy")</f>
        <v>Jan-2024</v>
      </c>
    </row>
    <row r="332" spans="1:11" x14ac:dyDescent="0.3">
      <c r="A332" t="s">
        <v>1167</v>
      </c>
      <c r="B332" s="1">
        <v>45813</v>
      </c>
      <c r="C332" t="s">
        <v>666</v>
      </c>
      <c r="D332" t="s">
        <v>995</v>
      </c>
      <c r="E332">
        <v>1117.53</v>
      </c>
      <c r="F332">
        <v>9</v>
      </c>
      <c r="G332">
        <v>7</v>
      </c>
      <c r="H332">
        <v>0</v>
      </c>
      <c r="I332" t="str">
        <f>VLOOKUP(C332,Table1[#All],3,FALSE)</f>
        <v>South America</v>
      </c>
      <c r="J332" t="str">
        <f>VLOOKUP(C332,Table1[#All],4,FALSE)</f>
        <v>Corporate</v>
      </c>
      <c r="K332" t="str">
        <f>TEXT(Table13[[#This Row],[Order_Date]],"mmm-yyyy")</f>
        <v>Jun-2025</v>
      </c>
    </row>
    <row r="333" spans="1:11" x14ac:dyDescent="0.3">
      <c r="A333" t="s">
        <v>1166</v>
      </c>
      <c r="B333" s="1">
        <v>45548</v>
      </c>
      <c r="C333" t="s">
        <v>668</v>
      </c>
      <c r="D333" t="s">
        <v>997</v>
      </c>
      <c r="E333">
        <v>713.41200000000003</v>
      </c>
      <c r="F333">
        <v>2</v>
      </c>
      <c r="G333">
        <v>68</v>
      </c>
      <c r="H333">
        <v>0.05</v>
      </c>
      <c r="I333" t="str">
        <f>VLOOKUP(C333,Table1[#All],3,FALSE)</f>
        <v>Asia</v>
      </c>
      <c r="J333" t="str">
        <f>VLOOKUP(C333,Table1[#All],4,FALSE)</f>
        <v>Home Office</v>
      </c>
      <c r="K333" t="str">
        <f>TEXT(Table13[[#This Row],[Order_Date]],"mmm-yyyy")</f>
        <v>Sep-2024</v>
      </c>
    </row>
    <row r="334" spans="1:11" x14ac:dyDescent="0.3">
      <c r="A334" t="s">
        <v>1165</v>
      </c>
      <c r="B334" s="1">
        <v>45071</v>
      </c>
      <c r="C334" t="s">
        <v>670</v>
      </c>
      <c r="D334" t="s">
        <v>995</v>
      </c>
      <c r="E334">
        <v>2469.402</v>
      </c>
      <c r="F334">
        <v>13</v>
      </c>
      <c r="G334">
        <v>19</v>
      </c>
      <c r="H334">
        <v>0.1</v>
      </c>
      <c r="I334" t="str">
        <f>VLOOKUP(C334,Table1[#All],3,FALSE)</f>
        <v>Asia</v>
      </c>
      <c r="J334" t="str">
        <f>VLOOKUP(C334,Table1[#All],4,FALSE)</f>
        <v>Corporate</v>
      </c>
      <c r="K334" t="str">
        <f>TEXT(Table13[[#This Row],[Order_Date]],"mmm-yyyy")</f>
        <v>May-2023</v>
      </c>
    </row>
    <row r="335" spans="1:11" x14ac:dyDescent="0.3">
      <c r="A335" t="s">
        <v>1164</v>
      </c>
      <c r="B335" s="1">
        <v>45561</v>
      </c>
      <c r="C335" t="s">
        <v>672</v>
      </c>
      <c r="D335" t="s">
        <v>1000</v>
      </c>
      <c r="E335">
        <v>622.09</v>
      </c>
      <c r="F335">
        <v>7</v>
      </c>
      <c r="G335">
        <v>13</v>
      </c>
      <c r="H335">
        <v>0</v>
      </c>
      <c r="I335" t="str">
        <f>VLOOKUP(C335,Table1[#All],3,FALSE)</f>
        <v>South America</v>
      </c>
      <c r="J335" t="str">
        <f>VLOOKUP(C335,Table1[#All],4,FALSE)</f>
        <v>Consumer</v>
      </c>
      <c r="K335" t="str">
        <f>TEXT(Table13[[#This Row],[Order_Date]],"mmm-yyyy")</f>
        <v>Sep-2024</v>
      </c>
    </row>
    <row r="336" spans="1:11" x14ac:dyDescent="0.3">
      <c r="A336" t="s">
        <v>1163</v>
      </c>
      <c r="B336" s="1">
        <v>44970</v>
      </c>
      <c r="C336" t="s">
        <v>674</v>
      </c>
      <c r="D336" t="s">
        <v>995</v>
      </c>
      <c r="E336">
        <v>1207.6400000000001</v>
      </c>
      <c r="F336">
        <v>5</v>
      </c>
      <c r="G336">
        <v>30</v>
      </c>
      <c r="H336">
        <v>0.05</v>
      </c>
      <c r="I336" t="str">
        <f>VLOOKUP(C336,Table1[#All],3,FALSE)</f>
        <v>South America</v>
      </c>
      <c r="J336" t="str">
        <f>VLOOKUP(C336,Table1[#All],4,FALSE)</f>
        <v>Consumer</v>
      </c>
      <c r="K336" t="str">
        <f>TEXT(Table13[[#This Row],[Order_Date]],"mmm-yyyy")</f>
        <v>Feb-2023</v>
      </c>
    </row>
    <row r="337" spans="1:11" x14ac:dyDescent="0.3">
      <c r="A337" t="s">
        <v>1162</v>
      </c>
      <c r="B337" s="1">
        <v>45463</v>
      </c>
      <c r="C337" t="s">
        <v>676</v>
      </c>
      <c r="D337" t="s">
        <v>997</v>
      </c>
      <c r="E337">
        <v>1945.575</v>
      </c>
      <c r="F337">
        <v>5</v>
      </c>
      <c r="G337">
        <v>251</v>
      </c>
      <c r="H337">
        <v>0.1</v>
      </c>
      <c r="I337" t="str">
        <f>VLOOKUP(C337,Table1[#All],3,FALSE)</f>
        <v>Africa</v>
      </c>
      <c r="J337" t="str">
        <f>VLOOKUP(C337,Table1[#All],4,FALSE)</f>
        <v>Consumer</v>
      </c>
      <c r="K337" t="str">
        <f>TEXT(Table13[[#This Row],[Order_Date]],"mmm-yyyy")</f>
        <v>Jun-2024</v>
      </c>
    </row>
    <row r="338" spans="1:11" x14ac:dyDescent="0.3">
      <c r="A338" t="s">
        <v>1161</v>
      </c>
      <c r="B338" s="1">
        <v>45373</v>
      </c>
      <c r="C338" t="s">
        <v>678</v>
      </c>
      <c r="D338" t="s">
        <v>995</v>
      </c>
      <c r="E338">
        <v>10649.5</v>
      </c>
      <c r="F338">
        <v>19</v>
      </c>
      <c r="G338">
        <v>0</v>
      </c>
      <c r="H338">
        <v>0.05</v>
      </c>
      <c r="I338" t="str">
        <f>VLOOKUP(C338,Table1[#All],3,FALSE)</f>
        <v>Europe</v>
      </c>
      <c r="J338" t="str">
        <f>VLOOKUP(C338,Table1[#All],4,FALSE)</f>
        <v>Home Office</v>
      </c>
      <c r="K338" t="str">
        <f>TEXT(Table13[[#This Row],[Order_Date]],"mmm-yyyy")</f>
        <v>Mar-2024</v>
      </c>
    </row>
    <row r="339" spans="1:11" x14ac:dyDescent="0.3">
      <c r="A339" t="s">
        <v>1160</v>
      </c>
      <c r="B339" s="1">
        <v>45506</v>
      </c>
      <c r="C339" t="s">
        <v>680</v>
      </c>
      <c r="D339" t="s">
        <v>995</v>
      </c>
      <c r="E339">
        <v>1497.375</v>
      </c>
      <c r="F339">
        <v>11</v>
      </c>
      <c r="G339">
        <v>-43</v>
      </c>
      <c r="H339">
        <v>0.1</v>
      </c>
      <c r="I339" t="str">
        <f>VLOOKUP(C339,Table1[#All],3,FALSE)</f>
        <v>Europe</v>
      </c>
      <c r="J339" t="str">
        <f>VLOOKUP(C339,Table1[#All],4,FALSE)</f>
        <v>Consumer</v>
      </c>
      <c r="K339" t="str">
        <f>TEXT(Table13[[#This Row],[Order_Date]],"mmm-yyyy")</f>
        <v>Aug-2024</v>
      </c>
    </row>
    <row r="340" spans="1:11" x14ac:dyDescent="0.3">
      <c r="A340" t="s">
        <v>1159</v>
      </c>
      <c r="B340" s="1">
        <v>45297</v>
      </c>
      <c r="C340" t="s">
        <v>682</v>
      </c>
      <c r="D340" t="s">
        <v>995</v>
      </c>
      <c r="E340">
        <v>552.93299999999999</v>
      </c>
      <c r="F340">
        <v>3</v>
      </c>
      <c r="G340">
        <v>29</v>
      </c>
      <c r="H340">
        <v>0.1</v>
      </c>
      <c r="I340" t="str">
        <f>VLOOKUP(C340,Table1[#All],3,FALSE)</f>
        <v>Asia</v>
      </c>
      <c r="J340" t="str">
        <f>VLOOKUP(C340,Table1[#All],4,FALSE)</f>
        <v>Consumer</v>
      </c>
      <c r="K340" t="str">
        <f>TEXT(Table13[[#This Row],[Order_Date]],"mmm-yyyy")</f>
        <v>Jan-2024</v>
      </c>
    </row>
    <row r="341" spans="1:11" x14ac:dyDescent="0.3">
      <c r="A341" t="s">
        <v>1158</v>
      </c>
      <c r="B341" s="1">
        <v>45438</v>
      </c>
      <c r="C341" t="s">
        <v>684</v>
      </c>
      <c r="D341" t="s">
        <v>995</v>
      </c>
      <c r="E341">
        <v>9384.32</v>
      </c>
      <c r="F341">
        <v>16</v>
      </c>
      <c r="G341">
        <v>-26</v>
      </c>
      <c r="H341">
        <v>0</v>
      </c>
      <c r="I341" t="str">
        <f>VLOOKUP(C341,Table1[#All],3,FALSE)</f>
        <v>North America</v>
      </c>
      <c r="J341" t="str">
        <f>VLOOKUP(C341,Table1[#All],4,FALSE)</f>
        <v>Consumer</v>
      </c>
      <c r="K341" t="str">
        <f>TEXT(Table13[[#This Row],[Order_Date]],"mmm-yyyy")</f>
        <v>May-2024</v>
      </c>
    </row>
    <row r="342" spans="1:11" x14ac:dyDescent="0.3">
      <c r="A342" t="s">
        <v>1157</v>
      </c>
      <c r="B342" s="1">
        <v>45468</v>
      </c>
      <c r="C342" t="s">
        <v>538</v>
      </c>
      <c r="D342" t="s">
        <v>1000</v>
      </c>
      <c r="E342">
        <v>1677.28</v>
      </c>
      <c r="F342">
        <v>16</v>
      </c>
      <c r="G342">
        <v>-55</v>
      </c>
      <c r="H342">
        <v>0</v>
      </c>
      <c r="I342" t="str">
        <f>VLOOKUP(C342,Table1[#All],3,FALSE)</f>
        <v>South America</v>
      </c>
      <c r="J342" t="str">
        <f>VLOOKUP(C342,Table1[#All],4,FALSE)</f>
        <v>Home Office</v>
      </c>
      <c r="K342" t="str">
        <f>TEXT(Table13[[#This Row],[Order_Date]],"mmm-yyyy")</f>
        <v>Jun-2024</v>
      </c>
    </row>
    <row r="343" spans="1:11" x14ac:dyDescent="0.3">
      <c r="A343" t="s">
        <v>1156</v>
      </c>
      <c r="B343" s="1">
        <v>45320</v>
      </c>
      <c r="C343" t="s">
        <v>687</v>
      </c>
      <c r="D343" t="s">
        <v>995</v>
      </c>
      <c r="E343">
        <v>8618.1119999999992</v>
      </c>
      <c r="F343">
        <v>16</v>
      </c>
      <c r="G343">
        <v>23</v>
      </c>
      <c r="H343">
        <v>0.1</v>
      </c>
      <c r="I343" t="str">
        <f>VLOOKUP(C343,Table1[#All],3,FALSE)</f>
        <v>Africa</v>
      </c>
      <c r="J343" t="str">
        <f>VLOOKUP(C343,Table1[#All],4,FALSE)</f>
        <v>Consumer</v>
      </c>
      <c r="K343" t="str">
        <f>TEXT(Table13[[#This Row],[Order_Date]],"mmm-yyyy")</f>
        <v>Jan-2024</v>
      </c>
    </row>
    <row r="344" spans="1:11" x14ac:dyDescent="0.3">
      <c r="A344" t="s">
        <v>1155</v>
      </c>
      <c r="B344" s="1">
        <v>45485</v>
      </c>
      <c r="C344" t="s">
        <v>689</v>
      </c>
      <c r="D344" t="s">
        <v>995</v>
      </c>
      <c r="E344">
        <v>2795.9639999999999</v>
      </c>
      <c r="F344">
        <v>8</v>
      </c>
      <c r="G344">
        <v>27</v>
      </c>
      <c r="H344">
        <v>0.05</v>
      </c>
      <c r="I344" t="str">
        <f>VLOOKUP(C344,Table1[#All],3,FALSE)</f>
        <v>South America</v>
      </c>
      <c r="J344" t="str">
        <f>VLOOKUP(C344,Table1[#All],4,FALSE)</f>
        <v>Consumer</v>
      </c>
      <c r="K344" t="str">
        <f>TEXT(Table13[[#This Row],[Order_Date]],"mmm-yyyy")</f>
        <v>Jul-2024</v>
      </c>
    </row>
    <row r="345" spans="1:11" x14ac:dyDescent="0.3">
      <c r="A345" t="s">
        <v>1154</v>
      </c>
      <c r="B345" s="1">
        <v>45251</v>
      </c>
      <c r="C345" t="s">
        <v>691</v>
      </c>
      <c r="D345" t="s">
        <v>995</v>
      </c>
      <c r="E345">
        <v>2833.4749999999999</v>
      </c>
      <c r="F345">
        <v>10</v>
      </c>
      <c r="G345">
        <v>-32</v>
      </c>
      <c r="H345">
        <v>0.15</v>
      </c>
      <c r="I345" t="str">
        <f>VLOOKUP(C345,Table1[#All],3,FALSE)</f>
        <v>Europe</v>
      </c>
      <c r="J345" t="str">
        <f>VLOOKUP(C345,Table1[#All],4,FALSE)</f>
        <v>Corporate</v>
      </c>
      <c r="K345" t="str">
        <f>TEXT(Table13[[#This Row],[Order_Date]],"mmm-yyyy")</f>
        <v>Nov-2023</v>
      </c>
    </row>
    <row r="346" spans="1:11" x14ac:dyDescent="0.3">
      <c r="A346" t="s">
        <v>1153</v>
      </c>
      <c r="B346" s="1">
        <v>45642</v>
      </c>
      <c r="C346" t="s">
        <v>693</v>
      </c>
      <c r="D346" t="s">
        <v>995</v>
      </c>
      <c r="E346">
        <v>2727.9360000000001</v>
      </c>
      <c r="F346">
        <v>8</v>
      </c>
      <c r="G346">
        <v>3</v>
      </c>
      <c r="H346">
        <v>0.1</v>
      </c>
      <c r="I346" t="str">
        <f>VLOOKUP(C346,Table1[#All],3,FALSE)</f>
        <v>North America</v>
      </c>
      <c r="J346" t="str">
        <f>VLOOKUP(C346,Table1[#All],4,FALSE)</f>
        <v>Home Office</v>
      </c>
      <c r="K346" t="str">
        <f>TEXT(Table13[[#This Row],[Order_Date]],"mmm-yyyy")</f>
        <v>Dec-2024</v>
      </c>
    </row>
    <row r="347" spans="1:11" x14ac:dyDescent="0.3">
      <c r="A347" t="s">
        <v>1152</v>
      </c>
      <c r="B347" s="1">
        <v>45054</v>
      </c>
      <c r="C347" t="s">
        <v>695</v>
      </c>
      <c r="D347" t="s">
        <v>995</v>
      </c>
      <c r="E347">
        <v>1928.88</v>
      </c>
      <c r="F347">
        <v>12</v>
      </c>
      <c r="G347">
        <v>76</v>
      </c>
      <c r="H347">
        <v>0.05</v>
      </c>
      <c r="I347" t="str">
        <f>VLOOKUP(C347,Table1[#All],3,FALSE)</f>
        <v>Africa</v>
      </c>
      <c r="J347" t="str">
        <f>VLOOKUP(C347,Table1[#All],4,FALSE)</f>
        <v>Consumer</v>
      </c>
      <c r="K347" t="str">
        <f>TEXT(Table13[[#This Row],[Order_Date]],"mmm-yyyy")</f>
        <v>May-2023</v>
      </c>
    </row>
    <row r="348" spans="1:11" x14ac:dyDescent="0.3">
      <c r="A348" t="s">
        <v>1151</v>
      </c>
      <c r="B348" s="1">
        <v>45168</v>
      </c>
      <c r="C348" t="s">
        <v>697</v>
      </c>
      <c r="D348" t="s">
        <v>995</v>
      </c>
      <c r="E348">
        <v>649.08900000000006</v>
      </c>
      <c r="F348">
        <v>7</v>
      </c>
      <c r="G348">
        <v>14</v>
      </c>
      <c r="H348">
        <v>0.1</v>
      </c>
      <c r="I348" t="str">
        <f>VLOOKUP(C348,Table1[#All],3,FALSE)</f>
        <v>Africa</v>
      </c>
      <c r="J348" t="str">
        <f>VLOOKUP(C348,Table1[#All],4,FALSE)</f>
        <v>Corporate</v>
      </c>
      <c r="K348" t="str">
        <f>TEXT(Table13[[#This Row],[Order_Date]],"mmm-yyyy")</f>
        <v>Aug-2023</v>
      </c>
    </row>
    <row r="349" spans="1:11" x14ac:dyDescent="0.3">
      <c r="A349" t="s">
        <v>1150</v>
      </c>
      <c r="B349" s="1">
        <v>45741</v>
      </c>
      <c r="C349" t="s">
        <v>699</v>
      </c>
      <c r="D349" t="s">
        <v>995</v>
      </c>
      <c r="E349">
        <v>965.78700000000003</v>
      </c>
      <c r="F349">
        <v>3</v>
      </c>
      <c r="G349">
        <v>-2</v>
      </c>
      <c r="H349">
        <v>0.15</v>
      </c>
      <c r="I349" t="str">
        <f>VLOOKUP(C349,Table1[#All],3,FALSE)</f>
        <v>Asia</v>
      </c>
      <c r="J349" t="str">
        <f>VLOOKUP(C349,Table1[#All],4,FALSE)</f>
        <v>Corporate</v>
      </c>
      <c r="K349" t="str">
        <f>TEXT(Table13[[#This Row],[Order_Date]],"mmm-yyyy")</f>
        <v>Mar-2025</v>
      </c>
    </row>
    <row r="350" spans="1:11" x14ac:dyDescent="0.3">
      <c r="A350" t="s">
        <v>1149</v>
      </c>
      <c r="B350" s="1">
        <v>45639</v>
      </c>
      <c r="C350" t="s">
        <v>701</v>
      </c>
      <c r="D350" t="s">
        <v>995</v>
      </c>
      <c r="E350">
        <v>408.15</v>
      </c>
      <c r="F350">
        <v>15</v>
      </c>
      <c r="G350">
        <v>-3</v>
      </c>
      <c r="H350">
        <v>0</v>
      </c>
      <c r="I350" t="str">
        <f>VLOOKUP(C350,Table1[#All],3,FALSE)</f>
        <v>North America</v>
      </c>
      <c r="J350" t="str">
        <f>VLOOKUP(C350,Table1[#All],4,FALSE)</f>
        <v>Corporate</v>
      </c>
      <c r="K350" t="str">
        <f>TEXT(Table13[[#This Row],[Order_Date]],"mmm-yyyy")</f>
        <v>Dec-2024</v>
      </c>
    </row>
    <row r="351" spans="1:11" x14ac:dyDescent="0.3">
      <c r="A351" t="s">
        <v>1148</v>
      </c>
      <c r="B351" s="1">
        <v>45116</v>
      </c>
      <c r="C351" t="s">
        <v>703</v>
      </c>
      <c r="D351" t="s">
        <v>995</v>
      </c>
      <c r="E351">
        <v>729.26</v>
      </c>
      <c r="F351">
        <v>14</v>
      </c>
      <c r="G351">
        <v>119</v>
      </c>
      <c r="H351">
        <v>0</v>
      </c>
      <c r="I351" t="str">
        <f>VLOOKUP(C351,Table1[#All],3,FALSE)</f>
        <v>Africa</v>
      </c>
      <c r="J351" t="str">
        <f>VLOOKUP(C351,Table1[#All],4,FALSE)</f>
        <v>Consumer</v>
      </c>
      <c r="K351" t="str">
        <f>TEXT(Table13[[#This Row],[Order_Date]],"mmm-yyyy")</f>
        <v>Jul-2023</v>
      </c>
    </row>
    <row r="352" spans="1:11" x14ac:dyDescent="0.3">
      <c r="A352" t="s">
        <v>1147</v>
      </c>
      <c r="B352" s="1">
        <v>45272</v>
      </c>
      <c r="C352" t="s">
        <v>705</v>
      </c>
      <c r="D352" t="s">
        <v>995</v>
      </c>
      <c r="E352">
        <v>3990.07</v>
      </c>
      <c r="F352">
        <v>7</v>
      </c>
      <c r="G352">
        <v>100</v>
      </c>
      <c r="H352">
        <v>0</v>
      </c>
      <c r="I352" t="str">
        <f>VLOOKUP(C352,Table1[#All],3,FALSE)</f>
        <v>North America</v>
      </c>
      <c r="J352" t="str">
        <f>VLOOKUP(C352,Table1[#All],4,FALSE)</f>
        <v>Consumer</v>
      </c>
      <c r="K352" t="str">
        <f>TEXT(Table13[[#This Row],[Order_Date]],"mmm-yyyy")</f>
        <v>Dec-2023</v>
      </c>
    </row>
    <row r="353" spans="1:11" x14ac:dyDescent="0.3">
      <c r="A353" t="s">
        <v>1146</v>
      </c>
      <c r="B353" s="1">
        <v>45407</v>
      </c>
      <c r="C353" t="s">
        <v>707</v>
      </c>
      <c r="D353" t="s">
        <v>1000</v>
      </c>
      <c r="E353">
        <v>9998.3700000000008</v>
      </c>
      <c r="F353">
        <v>19</v>
      </c>
      <c r="G353">
        <v>-15</v>
      </c>
      <c r="H353">
        <v>0</v>
      </c>
      <c r="I353" t="str">
        <f>VLOOKUP(C353,Table1[#All],3,FALSE)</f>
        <v>Asia</v>
      </c>
      <c r="J353" t="str">
        <f>VLOOKUP(C353,Table1[#All],4,FALSE)</f>
        <v>Home Office</v>
      </c>
      <c r="K353" t="str">
        <f>TEXT(Table13[[#This Row],[Order_Date]],"mmm-yyyy")</f>
        <v>Apr-2024</v>
      </c>
    </row>
    <row r="354" spans="1:11" x14ac:dyDescent="0.3">
      <c r="A354" t="s">
        <v>1145</v>
      </c>
      <c r="B354" s="1">
        <v>45752</v>
      </c>
      <c r="C354" t="s">
        <v>709</v>
      </c>
      <c r="D354" t="s">
        <v>1000</v>
      </c>
      <c r="E354">
        <v>2002.6679999999999</v>
      </c>
      <c r="F354">
        <v>8</v>
      </c>
      <c r="G354">
        <v>61</v>
      </c>
      <c r="H354">
        <v>0.15</v>
      </c>
      <c r="I354" t="str">
        <f>VLOOKUP(C354,Table1[#All],3,FALSE)</f>
        <v>North America</v>
      </c>
      <c r="J354" t="str">
        <f>VLOOKUP(C354,Table1[#All],4,FALSE)</f>
        <v>Home Office</v>
      </c>
      <c r="K354" t="str">
        <f>TEXT(Table13[[#This Row],[Order_Date]],"mmm-yyyy")</f>
        <v>Apr-2025</v>
      </c>
    </row>
    <row r="355" spans="1:11" x14ac:dyDescent="0.3">
      <c r="A355" t="s">
        <v>1144</v>
      </c>
      <c r="B355" s="1">
        <v>45185</v>
      </c>
      <c r="C355" t="s">
        <v>711</v>
      </c>
      <c r="D355" t="s">
        <v>995</v>
      </c>
      <c r="E355">
        <v>7665.4170000000004</v>
      </c>
      <c r="F355">
        <v>18</v>
      </c>
      <c r="G355">
        <v>25</v>
      </c>
      <c r="H355">
        <v>0.05</v>
      </c>
      <c r="I355" t="str">
        <f>VLOOKUP(C355,Table1[#All],3,FALSE)</f>
        <v>South America</v>
      </c>
      <c r="J355" t="str">
        <f>VLOOKUP(C355,Table1[#All],4,FALSE)</f>
        <v>Home Office</v>
      </c>
      <c r="K355" t="str">
        <f>TEXT(Table13[[#This Row],[Order_Date]],"mmm-yyyy")</f>
        <v>Sep-2023</v>
      </c>
    </row>
    <row r="356" spans="1:11" x14ac:dyDescent="0.3">
      <c r="A356" t="s">
        <v>1143</v>
      </c>
      <c r="B356" s="1">
        <v>45588</v>
      </c>
      <c r="C356" t="s">
        <v>713</v>
      </c>
      <c r="D356" t="s">
        <v>995</v>
      </c>
      <c r="E356">
        <v>8933.3639999999996</v>
      </c>
      <c r="F356">
        <v>17</v>
      </c>
      <c r="G356">
        <v>98</v>
      </c>
      <c r="H356">
        <v>0.1</v>
      </c>
      <c r="I356" t="str">
        <f>VLOOKUP(C356,Table1[#All],3,FALSE)</f>
        <v>Europe</v>
      </c>
      <c r="J356" t="str">
        <f>VLOOKUP(C356,Table1[#All],4,FALSE)</f>
        <v>Corporate</v>
      </c>
      <c r="K356" t="str">
        <f>TEXT(Table13[[#This Row],[Order_Date]],"mmm-yyyy")</f>
        <v>Oct-2024</v>
      </c>
    </row>
    <row r="357" spans="1:11" x14ac:dyDescent="0.3">
      <c r="A357" t="s">
        <v>1142</v>
      </c>
      <c r="B357" s="1">
        <v>44990</v>
      </c>
      <c r="C357" t="s">
        <v>715</v>
      </c>
      <c r="D357" t="s">
        <v>995</v>
      </c>
      <c r="E357">
        <v>175.5</v>
      </c>
      <c r="F357">
        <v>2</v>
      </c>
      <c r="G357">
        <v>99</v>
      </c>
      <c r="H357">
        <v>0.1</v>
      </c>
      <c r="I357" t="str">
        <f>VLOOKUP(C357,Table1[#All],3,FALSE)</f>
        <v>North America</v>
      </c>
      <c r="J357" t="str">
        <f>VLOOKUP(C357,Table1[#All],4,FALSE)</f>
        <v>Corporate</v>
      </c>
      <c r="K357" t="str">
        <f>TEXT(Table13[[#This Row],[Order_Date]],"mmm-yyyy")</f>
        <v>Mar-2023</v>
      </c>
    </row>
    <row r="358" spans="1:11" x14ac:dyDescent="0.3">
      <c r="A358" t="s">
        <v>1141</v>
      </c>
      <c r="B358" s="1">
        <v>45734</v>
      </c>
      <c r="C358" t="s">
        <v>104</v>
      </c>
      <c r="D358" t="s">
        <v>995</v>
      </c>
      <c r="E358">
        <v>5722.7439999999997</v>
      </c>
      <c r="F358">
        <v>16</v>
      </c>
      <c r="G358">
        <v>-78</v>
      </c>
      <c r="H358">
        <v>0.15</v>
      </c>
      <c r="I358" t="str">
        <f>VLOOKUP(C358,Table1[#All],3,FALSE)</f>
        <v>Europe</v>
      </c>
      <c r="J358" t="str">
        <f>VLOOKUP(C358,Table1[#All],4,FALSE)</f>
        <v>Home Office</v>
      </c>
      <c r="K358" t="str">
        <f>TEXT(Table13[[#This Row],[Order_Date]],"mmm-yyyy")</f>
        <v>Mar-2025</v>
      </c>
    </row>
    <row r="359" spans="1:11" x14ac:dyDescent="0.3">
      <c r="A359" t="s">
        <v>1140</v>
      </c>
      <c r="B359" s="1">
        <v>45163</v>
      </c>
      <c r="C359" t="s">
        <v>718</v>
      </c>
      <c r="D359" t="s">
        <v>995</v>
      </c>
      <c r="E359">
        <v>6671.34</v>
      </c>
      <c r="F359">
        <v>13</v>
      </c>
      <c r="G359">
        <v>30</v>
      </c>
      <c r="H359">
        <v>0</v>
      </c>
      <c r="I359" t="str">
        <f>VLOOKUP(C359,Table1[#All],3,FALSE)</f>
        <v>Europe</v>
      </c>
      <c r="J359" t="str">
        <f>VLOOKUP(C359,Table1[#All],4,FALSE)</f>
        <v>Corporate</v>
      </c>
      <c r="K359" t="str">
        <f>TEXT(Table13[[#This Row],[Order_Date]],"mmm-yyyy")</f>
        <v>Aug-2023</v>
      </c>
    </row>
    <row r="360" spans="1:11" x14ac:dyDescent="0.3">
      <c r="A360" t="s">
        <v>1139</v>
      </c>
      <c r="B360" s="1">
        <v>45120</v>
      </c>
      <c r="C360" t="s">
        <v>720</v>
      </c>
      <c r="D360" t="s">
        <v>995</v>
      </c>
      <c r="E360">
        <v>8133.4440000000004</v>
      </c>
      <c r="F360">
        <v>19</v>
      </c>
      <c r="G360">
        <v>0</v>
      </c>
      <c r="H360">
        <v>0.1</v>
      </c>
      <c r="I360" t="str">
        <f>VLOOKUP(C360,Table1[#All],3,FALSE)</f>
        <v>North America</v>
      </c>
      <c r="J360" t="str">
        <f>VLOOKUP(C360,Table1[#All],4,FALSE)</f>
        <v>Consumer</v>
      </c>
      <c r="K360" t="str">
        <f>TEXT(Table13[[#This Row],[Order_Date]],"mmm-yyyy")</f>
        <v>Jul-2023</v>
      </c>
    </row>
    <row r="361" spans="1:11" x14ac:dyDescent="0.3">
      <c r="A361" t="s">
        <v>1138</v>
      </c>
      <c r="B361" s="1">
        <v>45713</v>
      </c>
      <c r="C361" t="s">
        <v>722</v>
      </c>
      <c r="D361" t="s">
        <v>995</v>
      </c>
      <c r="E361">
        <v>2788.578</v>
      </c>
      <c r="F361">
        <v>13</v>
      </c>
      <c r="G361">
        <v>1</v>
      </c>
      <c r="H361">
        <v>0.1</v>
      </c>
      <c r="I361" t="str">
        <f>VLOOKUP(C361,Table1[#All],3,FALSE)</f>
        <v>North America</v>
      </c>
      <c r="J361" t="str">
        <f>VLOOKUP(C361,Table1[#All],4,FALSE)</f>
        <v>Consumer</v>
      </c>
      <c r="K361" t="str">
        <f>TEXT(Table13[[#This Row],[Order_Date]],"mmm-yyyy")</f>
        <v>Feb-2025</v>
      </c>
    </row>
    <row r="362" spans="1:11" x14ac:dyDescent="0.3">
      <c r="A362" t="s">
        <v>1137</v>
      </c>
      <c r="B362" s="1">
        <v>45761</v>
      </c>
      <c r="C362" t="s">
        <v>724</v>
      </c>
      <c r="D362" t="s">
        <v>995</v>
      </c>
      <c r="E362">
        <v>3591.3780000000002</v>
      </c>
      <c r="F362">
        <v>14</v>
      </c>
      <c r="G362">
        <v>-28</v>
      </c>
      <c r="H362">
        <v>0.1</v>
      </c>
      <c r="I362" t="str">
        <f>VLOOKUP(C362,Table1[#All],3,FALSE)</f>
        <v>Africa</v>
      </c>
      <c r="J362" t="str">
        <f>VLOOKUP(C362,Table1[#All],4,FALSE)</f>
        <v>Home Office</v>
      </c>
      <c r="K362" t="str">
        <f>TEXT(Table13[[#This Row],[Order_Date]],"mmm-yyyy")</f>
        <v>Apr-2025</v>
      </c>
    </row>
    <row r="363" spans="1:11" x14ac:dyDescent="0.3">
      <c r="A363" t="s">
        <v>1136</v>
      </c>
      <c r="B363" s="1">
        <v>45823</v>
      </c>
      <c r="C363" t="s">
        <v>726</v>
      </c>
      <c r="D363" t="s">
        <v>1000</v>
      </c>
      <c r="E363">
        <v>26.22</v>
      </c>
      <c r="F363">
        <v>5</v>
      </c>
      <c r="G363">
        <v>-122</v>
      </c>
      <c r="H363">
        <v>0.05</v>
      </c>
      <c r="I363" t="str">
        <f>VLOOKUP(C363,Table1[#All],3,FALSE)</f>
        <v>Africa</v>
      </c>
      <c r="J363" t="str">
        <f>VLOOKUP(C363,Table1[#All],4,FALSE)</f>
        <v>Home Office</v>
      </c>
      <c r="K363" t="str">
        <f>TEXT(Table13[[#This Row],[Order_Date]],"mmm-yyyy")</f>
        <v>Jun-2025</v>
      </c>
    </row>
    <row r="364" spans="1:11" x14ac:dyDescent="0.3">
      <c r="A364" t="s">
        <v>1135</v>
      </c>
      <c r="B364" s="1">
        <v>45587</v>
      </c>
      <c r="C364" t="s">
        <v>728</v>
      </c>
      <c r="D364" t="s">
        <v>1000</v>
      </c>
      <c r="E364">
        <v>6419.25</v>
      </c>
      <c r="F364">
        <v>18</v>
      </c>
      <c r="G364">
        <v>83</v>
      </c>
      <c r="H364">
        <v>0.1</v>
      </c>
      <c r="I364" t="str">
        <f>VLOOKUP(C364,Table1[#All],3,FALSE)</f>
        <v>North America</v>
      </c>
      <c r="J364" t="str">
        <f>VLOOKUP(C364,Table1[#All],4,FALSE)</f>
        <v>Home Office</v>
      </c>
      <c r="K364" t="str">
        <f>TEXT(Table13[[#This Row],[Order_Date]],"mmm-yyyy")</f>
        <v>Oct-2024</v>
      </c>
    </row>
    <row r="365" spans="1:11" x14ac:dyDescent="0.3">
      <c r="A365" t="s">
        <v>1134</v>
      </c>
      <c r="B365" s="1">
        <v>45097</v>
      </c>
      <c r="C365" t="s">
        <v>730</v>
      </c>
      <c r="D365" t="s">
        <v>995</v>
      </c>
      <c r="E365">
        <v>2417.94</v>
      </c>
      <c r="F365">
        <v>9</v>
      </c>
      <c r="G365">
        <v>4</v>
      </c>
      <c r="H365">
        <v>0.05</v>
      </c>
      <c r="I365" t="str">
        <f>VLOOKUP(C365,Table1[#All],3,FALSE)</f>
        <v>South America</v>
      </c>
      <c r="J365" t="str">
        <f>VLOOKUP(C365,Table1[#All],4,FALSE)</f>
        <v>Corporate</v>
      </c>
      <c r="K365" t="str">
        <f>TEXT(Table13[[#This Row],[Order_Date]],"mmm-yyyy")</f>
        <v>Jun-2023</v>
      </c>
    </row>
    <row r="366" spans="1:11" x14ac:dyDescent="0.3">
      <c r="A366" t="s">
        <v>1133</v>
      </c>
      <c r="B366" s="1">
        <v>45780</v>
      </c>
      <c r="C366" t="s">
        <v>732</v>
      </c>
      <c r="D366" t="s">
        <v>1000</v>
      </c>
      <c r="E366">
        <v>2994.951</v>
      </c>
      <c r="F366">
        <v>6</v>
      </c>
      <c r="G366">
        <v>180</v>
      </c>
      <c r="H366">
        <v>0.05</v>
      </c>
      <c r="I366" t="str">
        <f>VLOOKUP(C366,Table1[#All],3,FALSE)</f>
        <v>South America</v>
      </c>
      <c r="J366" t="str">
        <f>VLOOKUP(C366,Table1[#All],4,FALSE)</f>
        <v>Consumer</v>
      </c>
      <c r="K366" t="str">
        <f>TEXT(Table13[[#This Row],[Order_Date]],"mmm-yyyy")</f>
        <v>May-2025</v>
      </c>
    </row>
    <row r="367" spans="1:11" x14ac:dyDescent="0.3">
      <c r="A367" t="s">
        <v>1132</v>
      </c>
      <c r="B367" s="1">
        <v>45227</v>
      </c>
      <c r="C367" t="s">
        <v>734</v>
      </c>
      <c r="D367" t="s">
        <v>995</v>
      </c>
      <c r="E367">
        <v>1723.5450000000001</v>
      </c>
      <c r="F367">
        <v>15</v>
      </c>
      <c r="G367">
        <v>14</v>
      </c>
      <c r="H367">
        <v>0.1</v>
      </c>
      <c r="I367" t="str">
        <f>VLOOKUP(C367,Table1[#All],3,FALSE)</f>
        <v>Europe</v>
      </c>
      <c r="J367" t="str">
        <f>VLOOKUP(C367,Table1[#All],4,FALSE)</f>
        <v>Consumer</v>
      </c>
      <c r="K367" t="str">
        <f>TEXT(Table13[[#This Row],[Order_Date]],"mmm-yyyy")</f>
        <v>Oct-2023</v>
      </c>
    </row>
    <row r="368" spans="1:11" x14ac:dyDescent="0.3">
      <c r="A368" t="s">
        <v>1131</v>
      </c>
      <c r="B368" s="1">
        <v>45735</v>
      </c>
      <c r="C368" t="s">
        <v>736</v>
      </c>
      <c r="D368" t="s">
        <v>995</v>
      </c>
      <c r="E368">
        <v>8265.57</v>
      </c>
      <c r="F368">
        <v>17</v>
      </c>
      <c r="G368">
        <v>-31</v>
      </c>
      <c r="H368">
        <v>0.05</v>
      </c>
      <c r="I368" t="str">
        <f>VLOOKUP(C368,Table1[#All],3,FALSE)</f>
        <v>Africa</v>
      </c>
      <c r="J368" t="str">
        <f>VLOOKUP(C368,Table1[#All],4,FALSE)</f>
        <v>Home Office</v>
      </c>
      <c r="K368" t="str">
        <f>TEXT(Table13[[#This Row],[Order_Date]],"mmm-yyyy")</f>
        <v>Mar-2025</v>
      </c>
    </row>
    <row r="369" spans="1:11" x14ac:dyDescent="0.3">
      <c r="A369" t="s">
        <v>1130</v>
      </c>
      <c r="B369" s="1">
        <v>45085</v>
      </c>
      <c r="C369" t="s">
        <v>738</v>
      </c>
      <c r="D369" t="s">
        <v>995</v>
      </c>
      <c r="E369">
        <v>2112.268</v>
      </c>
      <c r="F369">
        <v>4</v>
      </c>
      <c r="G369">
        <v>-20</v>
      </c>
      <c r="H369">
        <v>0.05</v>
      </c>
      <c r="I369" t="str">
        <f>VLOOKUP(C369,Table1[#All],3,FALSE)</f>
        <v>Europe</v>
      </c>
      <c r="J369" t="str">
        <f>VLOOKUP(C369,Table1[#All],4,FALSE)</f>
        <v>Home Office</v>
      </c>
      <c r="K369" t="str">
        <f>TEXT(Table13[[#This Row],[Order_Date]],"mmm-yyyy")</f>
        <v>Jun-2023</v>
      </c>
    </row>
    <row r="370" spans="1:11" x14ac:dyDescent="0.3">
      <c r="A370" t="s">
        <v>1129</v>
      </c>
      <c r="B370" s="1">
        <v>45605</v>
      </c>
      <c r="C370" t="s">
        <v>740</v>
      </c>
      <c r="D370" t="s">
        <v>995</v>
      </c>
      <c r="E370">
        <v>2888.76</v>
      </c>
      <c r="F370">
        <v>15</v>
      </c>
      <c r="G370">
        <v>-114</v>
      </c>
      <c r="H370">
        <v>0.05</v>
      </c>
      <c r="I370" t="str">
        <f>VLOOKUP(C370,Table1[#All],3,FALSE)</f>
        <v>Africa</v>
      </c>
      <c r="J370" t="str">
        <f>VLOOKUP(C370,Table1[#All],4,FALSE)</f>
        <v>Home Office</v>
      </c>
      <c r="K370" t="str">
        <f>TEXT(Table13[[#This Row],[Order_Date]],"mmm-yyyy")</f>
        <v>Nov-2024</v>
      </c>
    </row>
    <row r="371" spans="1:11" x14ac:dyDescent="0.3">
      <c r="A371" t="s">
        <v>1128</v>
      </c>
      <c r="B371" s="1">
        <v>45870</v>
      </c>
      <c r="C371" t="s">
        <v>742</v>
      </c>
      <c r="D371" t="s">
        <v>995</v>
      </c>
      <c r="E371">
        <v>1414.8</v>
      </c>
      <c r="F371">
        <v>4</v>
      </c>
      <c r="G371">
        <v>8</v>
      </c>
      <c r="H371">
        <v>0</v>
      </c>
      <c r="I371" t="str">
        <f>VLOOKUP(C371,Table1[#All],3,FALSE)</f>
        <v>Africa</v>
      </c>
      <c r="J371" t="str">
        <f>VLOOKUP(C371,Table1[#All],4,FALSE)</f>
        <v>Consumer</v>
      </c>
      <c r="K371" t="str">
        <f>TEXT(Table13[[#This Row],[Order_Date]],"mmm-yyyy")</f>
        <v>Aug-2025</v>
      </c>
    </row>
    <row r="372" spans="1:11" x14ac:dyDescent="0.3">
      <c r="A372" t="s">
        <v>1127</v>
      </c>
      <c r="B372" s="1">
        <v>45634</v>
      </c>
      <c r="C372" t="s">
        <v>744</v>
      </c>
      <c r="D372" t="s">
        <v>1000</v>
      </c>
      <c r="E372">
        <v>447.75</v>
      </c>
      <c r="F372">
        <v>3</v>
      </c>
      <c r="G372">
        <v>-14</v>
      </c>
      <c r="H372">
        <v>0</v>
      </c>
      <c r="I372" t="str">
        <f>VLOOKUP(C372,Table1[#All],3,FALSE)</f>
        <v>Africa</v>
      </c>
      <c r="J372" t="str">
        <f>VLOOKUP(C372,Table1[#All],4,FALSE)</f>
        <v>Corporate</v>
      </c>
      <c r="K372" t="str">
        <f>TEXT(Table13[[#This Row],[Order_Date]],"mmm-yyyy")</f>
        <v>Dec-2024</v>
      </c>
    </row>
    <row r="373" spans="1:11" x14ac:dyDescent="0.3">
      <c r="A373" t="s">
        <v>1126</v>
      </c>
      <c r="B373" s="1">
        <v>45015</v>
      </c>
      <c r="C373" t="s">
        <v>746</v>
      </c>
      <c r="D373" t="s">
        <v>997</v>
      </c>
      <c r="E373">
        <v>2675.1239999999998</v>
      </c>
      <c r="F373">
        <v>19</v>
      </c>
      <c r="G373">
        <v>-77</v>
      </c>
      <c r="H373">
        <v>0.1</v>
      </c>
      <c r="I373" t="str">
        <f>VLOOKUP(C373,Table1[#All],3,FALSE)</f>
        <v>North America</v>
      </c>
      <c r="J373" t="str">
        <f>VLOOKUP(C373,Table1[#All],4,FALSE)</f>
        <v>Home Office</v>
      </c>
      <c r="K373" t="str">
        <f>TEXT(Table13[[#This Row],[Order_Date]],"mmm-yyyy")</f>
        <v>Mar-2023</v>
      </c>
    </row>
    <row r="374" spans="1:11" x14ac:dyDescent="0.3">
      <c r="A374" t="s">
        <v>1125</v>
      </c>
      <c r="B374" s="1">
        <v>44928</v>
      </c>
      <c r="C374" t="s">
        <v>748</v>
      </c>
      <c r="D374" t="s">
        <v>995</v>
      </c>
      <c r="E374">
        <v>1692.32</v>
      </c>
      <c r="F374">
        <v>7</v>
      </c>
      <c r="G374">
        <v>15</v>
      </c>
      <c r="H374">
        <v>0</v>
      </c>
      <c r="I374" t="str">
        <f>VLOOKUP(C374,Table1[#All],3,FALSE)</f>
        <v>Africa</v>
      </c>
      <c r="J374" t="str">
        <f>VLOOKUP(C374,Table1[#All],4,FALSE)</f>
        <v>Home Office</v>
      </c>
      <c r="K374" t="str">
        <f>TEXT(Table13[[#This Row],[Order_Date]],"mmm-yyyy")</f>
        <v>Jan-2023</v>
      </c>
    </row>
    <row r="375" spans="1:11" x14ac:dyDescent="0.3">
      <c r="A375" t="s">
        <v>1124</v>
      </c>
      <c r="B375" s="1">
        <v>45765</v>
      </c>
      <c r="C375" t="s">
        <v>212</v>
      </c>
      <c r="D375" t="s">
        <v>995</v>
      </c>
      <c r="E375">
        <v>3409.8</v>
      </c>
      <c r="F375">
        <v>20</v>
      </c>
      <c r="G375">
        <v>-10</v>
      </c>
      <c r="H375">
        <v>0</v>
      </c>
      <c r="I375" t="str">
        <f>VLOOKUP(C375,Table1[#All],3,FALSE)</f>
        <v>North America</v>
      </c>
      <c r="J375" t="str">
        <f>VLOOKUP(C375,Table1[#All],4,FALSE)</f>
        <v>Home Office</v>
      </c>
      <c r="K375" t="str">
        <f>TEXT(Table13[[#This Row],[Order_Date]],"mmm-yyyy")</f>
        <v>Apr-2025</v>
      </c>
    </row>
    <row r="376" spans="1:11" x14ac:dyDescent="0.3">
      <c r="A376" t="s">
        <v>1123</v>
      </c>
      <c r="B376" s="1">
        <v>45745</v>
      </c>
      <c r="C376" t="s">
        <v>751</v>
      </c>
      <c r="D376" t="s">
        <v>995</v>
      </c>
      <c r="E376">
        <v>1481.7329999999999</v>
      </c>
      <c r="F376">
        <v>11</v>
      </c>
      <c r="G376">
        <v>6</v>
      </c>
      <c r="H376">
        <v>0.1</v>
      </c>
      <c r="I376" t="str">
        <f>VLOOKUP(C376,Table1[#All],3,FALSE)</f>
        <v>Africa</v>
      </c>
      <c r="J376" t="str">
        <f>VLOOKUP(C376,Table1[#All],4,FALSE)</f>
        <v>Corporate</v>
      </c>
      <c r="K376" t="str">
        <f>TEXT(Table13[[#This Row],[Order_Date]],"mmm-yyyy")</f>
        <v>Mar-2025</v>
      </c>
    </row>
    <row r="377" spans="1:11" x14ac:dyDescent="0.3">
      <c r="A377" t="s">
        <v>1122</v>
      </c>
      <c r="B377" s="1">
        <v>45407</v>
      </c>
      <c r="C377" t="s">
        <v>753</v>
      </c>
      <c r="D377" t="s">
        <v>995</v>
      </c>
      <c r="E377">
        <v>156.20400000000001</v>
      </c>
      <c r="F377">
        <v>1</v>
      </c>
      <c r="G377">
        <v>24</v>
      </c>
      <c r="H377">
        <v>0.1</v>
      </c>
      <c r="I377" t="str">
        <f>VLOOKUP(C377,Table1[#All],3,FALSE)</f>
        <v>Asia</v>
      </c>
      <c r="J377" t="str">
        <f>VLOOKUP(C377,Table1[#All],4,FALSE)</f>
        <v>Home Office</v>
      </c>
      <c r="K377" t="str">
        <f>TEXT(Table13[[#This Row],[Order_Date]],"mmm-yyyy")</f>
        <v>Apr-2024</v>
      </c>
    </row>
    <row r="378" spans="1:11" x14ac:dyDescent="0.3">
      <c r="A378" t="s">
        <v>1121</v>
      </c>
      <c r="B378" s="1">
        <v>45557</v>
      </c>
      <c r="C378" t="s">
        <v>755</v>
      </c>
      <c r="D378" t="s">
        <v>997</v>
      </c>
      <c r="E378">
        <v>2324.5075000000002</v>
      </c>
      <c r="F378">
        <v>7</v>
      </c>
      <c r="G378">
        <v>-28</v>
      </c>
      <c r="H378">
        <v>0.05</v>
      </c>
      <c r="I378" t="str">
        <f>VLOOKUP(C378,Table1[#All],3,FALSE)</f>
        <v>South America</v>
      </c>
      <c r="J378" t="str">
        <f>VLOOKUP(C378,Table1[#All],4,FALSE)</f>
        <v>Consumer</v>
      </c>
      <c r="K378" t="str">
        <f>TEXT(Table13[[#This Row],[Order_Date]],"mmm-yyyy")</f>
        <v>Sep-2024</v>
      </c>
    </row>
    <row r="379" spans="1:11" x14ac:dyDescent="0.3">
      <c r="A379" t="s">
        <v>1120</v>
      </c>
      <c r="B379" s="1">
        <v>45054</v>
      </c>
      <c r="C379" t="s">
        <v>757</v>
      </c>
      <c r="D379" t="s">
        <v>997</v>
      </c>
      <c r="E379">
        <v>2206.2600000000002</v>
      </c>
      <c r="F379">
        <v>9</v>
      </c>
      <c r="G379">
        <v>-30</v>
      </c>
      <c r="H379">
        <v>0</v>
      </c>
      <c r="I379" t="str">
        <f>VLOOKUP(C379,Table1[#All],3,FALSE)</f>
        <v>Africa</v>
      </c>
      <c r="J379" t="str">
        <f>VLOOKUP(C379,Table1[#All],4,FALSE)</f>
        <v>Home Office</v>
      </c>
      <c r="K379" t="str">
        <f>TEXT(Table13[[#This Row],[Order_Date]],"mmm-yyyy")</f>
        <v>May-2023</v>
      </c>
    </row>
    <row r="380" spans="1:11" x14ac:dyDescent="0.3">
      <c r="A380" t="s">
        <v>1119</v>
      </c>
      <c r="B380" s="1">
        <v>45479</v>
      </c>
      <c r="C380" t="s">
        <v>759</v>
      </c>
      <c r="D380" t="s">
        <v>995</v>
      </c>
      <c r="E380">
        <v>401.92599999999999</v>
      </c>
      <c r="F380">
        <v>1</v>
      </c>
      <c r="G380">
        <v>18</v>
      </c>
      <c r="H380">
        <v>0.05</v>
      </c>
      <c r="I380" t="str">
        <f>VLOOKUP(C380,Table1[#All],3,FALSE)</f>
        <v>South America</v>
      </c>
      <c r="J380" t="str">
        <f>VLOOKUP(C380,Table1[#All],4,FALSE)</f>
        <v>Home Office</v>
      </c>
      <c r="K380" t="str">
        <f>TEXT(Table13[[#This Row],[Order_Date]],"mmm-yyyy")</f>
        <v>Jul-2024</v>
      </c>
    </row>
    <row r="381" spans="1:11" x14ac:dyDescent="0.3">
      <c r="A381" t="s">
        <v>1118</v>
      </c>
      <c r="B381" s="1">
        <v>45801</v>
      </c>
      <c r="C381" t="s">
        <v>761</v>
      </c>
      <c r="D381" t="s">
        <v>1000</v>
      </c>
      <c r="E381">
        <v>5455.7929999999997</v>
      </c>
      <c r="F381">
        <v>19</v>
      </c>
      <c r="G381">
        <v>-162</v>
      </c>
      <c r="H381">
        <v>0.15</v>
      </c>
      <c r="I381" t="str">
        <f>VLOOKUP(C381,Table1[#All],3,FALSE)</f>
        <v>Asia</v>
      </c>
      <c r="J381" t="str">
        <f>VLOOKUP(C381,Table1[#All],4,FALSE)</f>
        <v>Corporate</v>
      </c>
      <c r="K381" t="str">
        <f>TEXT(Table13[[#This Row],[Order_Date]],"mmm-yyyy")</f>
        <v>May-2025</v>
      </c>
    </row>
    <row r="382" spans="1:11" x14ac:dyDescent="0.3">
      <c r="A382" t="s">
        <v>1117</v>
      </c>
      <c r="B382" s="1">
        <v>45491</v>
      </c>
      <c r="C382" t="s">
        <v>763</v>
      </c>
      <c r="D382" t="s">
        <v>995</v>
      </c>
      <c r="E382">
        <v>2147.355</v>
      </c>
      <c r="F382">
        <v>10</v>
      </c>
      <c r="G382">
        <v>6</v>
      </c>
      <c r="H382">
        <v>0.15</v>
      </c>
      <c r="I382" t="str">
        <f>VLOOKUP(C382,Table1[#All],3,FALSE)</f>
        <v>South America</v>
      </c>
      <c r="J382" t="str">
        <f>VLOOKUP(C382,Table1[#All],4,FALSE)</f>
        <v>Home Office</v>
      </c>
      <c r="K382" t="str">
        <f>TEXT(Table13[[#This Row],[Order_Date]],"mmm-yyyy")</f>
        <v>Jul-2024</v>
      </c>
    </row>
    <row r="383" spans="1:11" x14ac:dyDescent="0.3">
      <c r="A383" t="s">
        <v>1116</v>
      </c>
      <c r="B383" s="1">
        <v>45487</v>
      </c>
      <c r="C383" t="s">
        <v>765</v>
      </c>
      <c r="D383" t="s">
        <v>995</v>
      </c>
      <c r="E383">
        <v>234.95400000000001</v>
      </c>
      <c r="F383">
        <v>3</v>
      </c>
      <c r="G383">
        <v>20</v>
      </c>
      <c r="H383">
        <v>0.1</v>
      </c>
      <c r="I383" t="str">
        <f>VLOOKUP(C383,Table1[#All],3,FALSE)</f>
        <v>Europe</v>
      </c>
      <c r="J383" t="str">
        <f>VLOOKUP(C383,Table1[#All],4,FALSE)</f>
        <v>Consumer</v>
      </c>
      <c r="K383" t="str">
        <f>TEXT(Table13[[#This Row],[Order_Date]],"mmm-yyyy")</f>
        <v>Jul-2024</v>
      </c>
    </row>
    <row r="384" spans="1:11" x14ac:dyDescent="0.3">
      <c r="A384" t="s">
        <v>1115</v>
      </c>
      <c r="B384" s="1">
        <v>45030</v>
      </c>
      <c r="C384" t="s">
        <v>767</v>
      </c>
      <c r="D384" t="s">
        <v>995</v>
      </c>
      <c r="E384">
        <v>70.224000000000004</v>
      </c>
      <c r="F384">
        <v>11</v>
      </c>
      <c r="G384">
        <v>16</v>
      </c>
      <c r="H384">
        <v>0.05</v>
      </c>
      <c r="I384" t="str">
        <f>VLOOKUP(C384,Table1[#All],3,FALSE)</f>
        <v>Africa</v>
      </c>
      <c r="J384" t="str">
        <f>VLOOKUP(C384,Table1[#All],4,FALSE)</f>
        <v>Home Office</v>
      </c>
      <c r="K384" t="str">
        <f>TEXT(Table13[[#This Row],[Order_Date]],"mmm-yyyy")</f>
        <v>Apr-2023</v>
      </c>
    </row>
    <row r="385" spans="1:11" x14ac:dyDescent="0.3">
      <c r="A385" t="s">
        <v>1114</v>
      </c>
      <c r="B385" s="1">
        <v>44932</v>
      </c>
      <c r="C385" t="s">
        <v>769</v>
      </c>
      <c r="D385" t="s">
        <v>995</v>
      </c>
      <c r="E385">
        <v>502.88400000000001</v>
      </c>
      <c r="F385">
        <v>2</v>
      </c>
      <c r="G385">
        <v>22</v>
      </c>
      <c r="H385">
        <v>0.1</v>
      </c>
      <c r="I385" t="str">
        <f>VLOOKUP(C385,Table1[#All],3,FALSE)</f>
        <v>South America</v>
      </c>
      <c r="J385" t="str">
        <f>VLOOKUP(C385,Table1[#All],4,FALSE)</f>
        <v>Consumer</v>
      </c>
      <c r="K385" t="str">
        <f>TEXT(Table13[[#This Row],[Order_Date]],"mmm-yyyy")</f>
        <v>Jan-2023</v>
      </c>
    </row>
    <row r="386" spans="1:11" x14ac:dyDescent="0.3">
      <c r="A386" t="s">
        <v>1113</v>
      </c>
      <c r="B386" s="1">
        <v>45764</v>
      </c>
      <c r="C386" t="s">
        <v>771</v>
      </c>
      <c r="D386" t="s">
        <v>995</v>
      </c>
      <c r="E386">
        <v>1683.18</v>
      </c>
      <c r="F386">
        <v>9</v>
      </c>
      <c r="G386">
        <v>24</v>
      </c>
      <c r="H386">
        <v>0.1</v>
      </c>
      <c r="I386" t="str">
        <f>VLOOKUP(C386,Table1[#All],3,FALSE)</f>
        <v>Africa</v>
      </c>
      <c r="J386" t="str">
        <f>VLOOKUP(C386,Table1[#All],4,FALSE)</f>
        <v>Consumer</v>
      </c>
      <c r="K386" t="str">
        <f>TEXT(Table13[[#This Row],[Order_Date]],"mmm-yyyy")</f>
        <v>Apr-2025</v>
      </c>
    </row>
    <row r="387" spans="1:11" x14ac:dyDescent="0.3">
      <c r="A387" t="s">
        <v>1112</v>
      </c>
      <c r="B387" s="1">
        <v>45747</v>
      </c>
      <c r="C387" t="s">
        <v>773</v>
      </c>
      <c r="D387" t="s">
        <v>997</v>
      </c>
      <c r="E387">
        <v>7294.29</v>
      </c>
      <c r="F387">
        <v>15</v>
      </c>
      <c r="G387">
        <v>-10</v>
      </c>
      <c r="H387">
        <v>0.05</v>
      </c>
      <c r="I387" t="str">
        <f>VLOOKUP(C387,Table1[#All],3,FALSE)</f>
        <v>Asia</v>
      </c>
      <c r="J387" t="str">
        <f>VLOOKUP(C387,Table1[#All],4,FALSE)</f>
        <v>Consumer</v>
      </c>
      <c r="K387" t="str">
        <f>TEXT(Table13[[#This Row],[Order_Date]],"mmm-yyyy")</f>
        <v>Mar-2025</v>
      </c>
    </row>
    <row r="388" spans="1:11" x14ac:dyDescent="0.3">
      <c r="A388" t="s">
        <v>1111</v>
      </c>
      <c r="B388" s="1">
        <v>45488</v>
      </c>
      <c r="C388" t="s">
        <v>775</v>
      </c>
      <c r="D388" t="s">
        <v>995</v>
      </c>
      <c r="E388">
        <v>3259.7</v>
      </c>
      <c r="F388">
        <v>10</v>
      </c>
      <c r="G388">
        <v>-2</v>
      </c>
      <c r="H388">
        <v>0</v>
      </c>
      <c r="I388" t="str">
        <f>VLOOKUP(C388,Table1[#All],3,FALSE)</f>
        <v>Asia</v>
      </c>
      <c r="J388" t="str">
        <f>VLOOKUP(C388,Table1[#All],4,FALSE)</f>
        <v>Corporate</v>
      </c>
      <c r="K388" t="str">
        <f>TEXT(Table13[[#This Row],[Order_Date]],"mmm-yyyy")</f>
        <v>Jul-2024</v>
      </c>
    </row>
    <row r="389" spans="1:11" x14ac:dyDescent="0.3">
      <c r="A389" t="s">
        <v>1110</v>
      </c>
      <c r="B389" s="1">
        <v>45534</v>
      </c>
      <c r="C389" t="s">
        <v>777</v>
      </c>
      <c r="D389" t="s">
        <v>995</v>
      </c>
      <c r="E389">
        <v>7978.44</v>
      </c>
      <c r="F389">
        <v>17</v>
      </c>
      <c r="G389">
        <v>8</v>
      </c>
      <c r="H389">
        <v>0</v>
      </c>
      <c r="I389" t="str">
        <f>VLOOKUP(C389,Table1[#All],3,FALSE)</f>
        <v>South America</v>
      </c>
      <c r="J389" t="str">
        <f>VLOOKUP(C389,Table1[#All],4,FALSE)</f>
        <v>Home Office</v>
      </c>
      <c r="K389" t="str">
        <f>TEXT(Table13[[#This Row],[Order_Date]],"mmm-yyyy")</f>
        <v>Aug-2024</v>
      </c>
    </row>
    <row r="390" spans="1:11" x14ac:dyDescent="0.3">
      <c r="A390" t="s">
        <v>1109</v>
      </c>
      <c r="B390" s="1">
        <v>45839</v>
      </c>
      <c r="C390" t="s">
        <v>779</v>
      </c>
      <c r="D390" t="s">
        <v>995</v>
      </c>
      <c r="E390">
        <v>2426.9699999999998</v>
      </c>
      <c r="F390">
        <v>13</v>
      </c>
      <c r="G390">
        <v>-345</v>
      </c>
      <c r="H390">
        <v>0</v>
      </c>
      <c r="I390" t="str">
        <f>VLOOKUP(C390,Table1[#All],3,FALSE)</f>
        <v>Africa</v>
      </c>
      <c r="J390" t="str">
        <f>VLOOKUP(C390,Table1[#All],4,FALSE)</f>
        <v>Corporate</v>
      </c>
      <c r="K390" t="str">
        <f>TEXT(Table13[[#This Row],[Order_Date]],"mmm-yyyy")</f>
        <v>Jul-2025</v>
      </c>
    </row>
    <row r="391" spans="1:11" x14ac:dyDescent="0.3">
      <c r="A391" t="s">
        <v>1108</v>
      </c>
      <c r="B391" s="1">
        <v>45779</v>
      </c>
      <c r="C391" t="s">
        <v>781</v>
      </c>
      <c r="D391" t="s">
        <v>995</v>
      </c>
      <c r="E391">
        <v>526.83199999999999</v>
      </c>
      <c r="F391">
        <v>16</v>
      </c>
      <c r="G391">
        <v>0</v>
      </c>
      <c r="H391">
        <v>0.05</v>
      </c>
      <c r="I391" t="str">
        <f>VLOOKUP(C391,Table1[#All],3,FALSE)</f>
        <v>South America</v>
      </c>
      <c r="J391" t="str">
        <f>VLOOKUP(C391,Table1[#All],4,FALSE)</f>
        <v>Home Office</v>
      </c>
      <c r="K391" t="str">
        <f>TEXT(Table13[[#This Row],[Order_Date]],"mmm-yyyy")</f>
        <v>May-2025</v>
      </c>
    </row>
    <row r="392" spans="1:11" x14ac:dyDescent="0.3">
      <c r="A392" t="s">
        <v>1107</v>
      </c>
      <c r="B392" s="1">
        <v>45295</v>
      </c>
      <c r="C392" t="s">
        <v>783</v>
      </c>
      <c r="D392" t="s">
        <v>995</v>
      </c>
      <c r="E392">
        <v>2372.1120000000001</v>
      </c>
      <c r="F392">
        <v>18</v>
      </c>
      <c r="G392">
        <v>-85</v>
      </c>
      <c r="H392">
        <v>0.15</v>
      </c>
      <c r="I392" t="str">
        <f>VLOOKUP(C392,Table1[#All],3,FALSE)</f>
        <v>North America</v>
      </c>
      <c r="J392" t="str">
        <f>VLOOKUP(C392,Table1[#All],4,FALSE)</f>
        <v>Corporate</v>
      </c>
      <c r="K392" t="str">
        <f>TEXT(Table13[[#This Row],[Order_Date]],"mmm-yyyy")</f>
        <v>Jan-2024</v>
      </c>
    </row>
    <row r="393" spans="1:11" x14ac:dyDescent="0.3">
      <c r="A393" t="s">
        <v>1106</v>
      </c>
      <c r="B393" s="1">
        <v>45660</v>
      </c>
      <c r="C393" t="s">
        <v>785</v>
      </c>
      <c r="D393" t="s">
        <v>995</v>
      </c>
      <c r="E393">
        <v>264.48</v>
      </c>
      <c r="F393">
        <v>4</v>
      </c>
      <c r="G393">
        <v>12</v>
      </c>
      <c r="H393">
        <v>0.05</v>
      </c>
      <c r="I393" t="str">
        <f>VLOOKUP(C393,Table1[#All],3,FALSE)</f>
        <v>Europe</v>
      </c>
      <c r="J393" t="str">
        <f>VLOOKUP(C393,Table1[#All],4,FALSE)</f>
        <v>Consumer</v>
      </c>
      <c r="K393" t="str">
        <f>TEXT(Table13[[#This Row],[Order_Date]],"mmm-yyyy")</f>
        <v>Jan-2025</v>
      </c>
    </row>
    <row r="394" spans="1:11" x14ac:dyDescent="0.3">
      <c r="A394" t="s">
        <v>1105</v>
      </c>
      <c r="B394" s="1">
        <v>44992</v>
      </c>
      <c r="C394" t="s">
        <v>787</v>
      </c>
      <c r="D394" t="s">
        <v>995</v>
      </c>
      <c r="E394">
        <v>608.74450000000002</v>
      </c>
      <c r="F394">
        <v>13</v>
      </c>
      <c r="G394">
        <v>7</v>
      </c>
      <c r="H394">
        <v>0.15</v>
      </c>
      <c r="I394" t="str">
        <f>VLOOKUP(C394,Table1[#All],3,FALSE)</f>
        <v>Africa</v>
      </c>
      <c r="J394" t="str">
        <f>VLOOKUP(C394,Table1[#All],4,FALSE)</f>
        <v>Home Office</v>
      </c>
      <c r="K394" t="str">
        <f>TEXT(Table13[[#This Row],[Order_Date]],"mmm-yyyy")</f>
        <v>Mar-2023</v>
      </c>
    </row>
    <row r="395" spans="1:11" x14ac:dyDescent="0.3">
      <c r="A395" t="s">
        <v>1104</v>
      </c>
      <c r="B395" s="1">
        <v>45041</v>
      </c>
      <c r="C395" t="s">
        <v>789</v>
      </c>
      <c r="D395" t="s">
        <v>995</v>
      </c>
      <c r="E395">
        <v>2277.5155</v>
      </c>
      <c r="F395">
        <v>13</v>
      </c>
      <c r="G395">
        <v>20</v>
      </c>
      <c r="H395">
        <v>0.15</v>
      </c>
      <c r="I395" t="str">
        <f>VLOOKUP(C395,Table1[#All],3,FALSE)</f>
        <v>Africa</v>
      </c>
      <c r="J395" t="str">
        <f>VLOOKUP(C395,Table1[#All],4,FALSE)</f>
        <v>Consumer</v>
      </c>
      <c r="K395" t="str">
        <f>TEXT(Table13[[#This Row],[Order_Date]],"mmm-yyyy")</f>
        <v>Apr-2023</v>
      </c>
    </row>
    <row r="396" spans="1:11" x14ac:dyDescent="0.3">
      <c r="A396" t="s">
        <v>1103</v>
      </c>
      <c r="B396" s="1">
        <v>45904</v>
      </c>
      <c r="C396" t="s">
        <v>791</v>
      </c>
      <c r="D396" t="s">
        <v>995</v>
      </c>
      <c r="E396">
        <v>6442.2539999999999</v>
      </c>
      <c r="F396">
        <v>14</v>
      </c>
      <c r="G396">
        <v>48</v>
      </c>
      <c r="H396">
        <v>0.05</v>
      </c>
      <c r="I396" t="str">
        <f>VLOOKUP(C396,Table1[#All],3,FALSE)</f>
        <v>Europe</v>
      </c>
      <c r="J396" t="str">
        <f>VLOOKUP(C396,Table1[#All],4,FALSE)</f>
        <v>Consumer</v>
      </c>
      <c r="K396" t="str">
        <f>TEXT(Table13[[#This Row],[Order_Date]],"mmm-yyyy")</f>
        <v>Sep-2025</v>
      </c>
    </row>
    <row r="397" spans="1:11" x14ac:dyDescent="0.3">
      <c r="A397" t="s">
        <v>1102</v>
      </c>
      <c r="B397" s="1">
        <v>45057</v>
      </c>
      <c r="C397" t="s">
        <v>793</v>
      </c>
      <c r="D397" t="s">
        <v>1000</v>
      </c>
      <c r="E397">
        <v>2697.42</v>
      </c>
      <c r="F397">
        <v>6</v>
      </c>
      <c r="G397">
        <v>81</v>
      </c>
      <c r="H397">
        <v>0</v>
      </c>
      <c r="I397" t="str">
        <f>VLOOKUP(C397,Table1[#All],3,FALSE)</f>
        <v>North America</v>
      </c>
      <c r="J397" t="str">
        <f>VLOOKUP(C397,Table1[#All],4,FALSE)</f>
        <v>Consumer</v>
      </c>
      <c r="K397" t="str">
        <f>TEXT(Table13[[#This Row],[Order_Date]],"mmm-yyyy")</f>
        <v>May-2023</v>
      </c>
    </row>
    <row r="398" spans="1:11" x14ac:dyDescent="0.3">
      <c r="A398" t="s">
        <v>1101</v>
      </c>
      <c r="B398" s="1">
        <v>44939</v>
      </c>
      <c r="C398" t="s">
        <v>795</v>
      </c>
      <c r="D398" t="s">
        <v>1000</v>
      </c>
      <c r="E398">
        <v>2007.09</v>
      </c>
      <c r="F398">
        <v>9</v>
      </c>
      <c r="G398">
        <v>-38</v>
      </c>
      <c r="H398">
        <v>0</v>
      </c>
      <c r="I398" t="str">
        <f>VLOOKUP(C398,Table1[#All],3,FALSE)</f>
        <v>Asia</v>
      </c>
      <c r="J398" t="str">
        <f>VLOOKUP(C398,Table1[#All],4,FALSE)</f>
        <v>Corporate</v>
      </c>
      <c r="K398" t="str">
        <f>TEXT(Table13[[#This Row],[Order_Date]],"mmm-yyyy")</f>
        <v>Jan-2023</v>
      </c>
    </row>
    <row r="399" spans="1:11" x14ac:dyDescent="0.3">
      <c r="A399" t="s">
        <v>1100</v>
      </c>
      <c r="B399" s="1">
        <v>45810</v>
      </c>
      <c r="C399" t="s">
        <v>797</v>
      </c>
      <c r="D399" t="s">
        <v>1000</v>
      </c>
      <c r="E399">
        <v>3473.7289999999998</v>
      </c>
      <c r="F399">
        <v>14</v>
      </c>
      <c r="G399">
        <v>-143</v>
      </c>
      <c r="H399">
        <v>0.15</v>
      </c>
      <c r="I399" t="str">
        <f>VLOOKUP(C399,Table1[#All],3,FALSE)</f>
        <v>Europe</v>
      </c>
      <c r="J399" t="str">
        <f>VLOOKUP(C399,Table1[#All],4,FALSE)</f>
        <v>Corporate</v>
      </c>
      <c r="K399" t="str">
        <f>TEXT(Table13[[#This Row],[Order_Date]],"mmm-yyyy")</f>
        <v>Jun-2025</v>
      </c>
    </row>
    <row r="400" spans="1:11" x14ac:dyDescent="0.3">
      <c r="A400" t="s">
        <v>1099</v>
      </c>
      <c r="B400" s="1">
        <v>45066</v>
      </c>
      <c r="C400" t="s">
        <v>799</v>
      </c>
      <c r="D400" t="s">
        <v>1000</v>
      </c>
      <c r="E400">
        <v>1181.18</v>
      </c>
      <c r="F400">
        <v>13</v>
      </c>
      <c r="G400">
        <v>-33</v>
      </c>
      <c r="H400">
        <v>0</v>
      </c>
      <c r="I400" t="str">
        <f>VLOOKUP(C400,Table1[#All],3,FALSE)</f>
        <v>South America</v>
      </c>
      <c r="J400" t="str">
        <f>VLOOKUP(C400,Table1[#All],4,FALSE)</f>
        <v>Consumer</v>
      </c>
      <c r="K400" t="str">
        <f>TEXT(Table13[[#This Row],[Order_Date]],"mmm-yyyy")</f>
        <v>May-2023</v>
      </c>
    </row>
    <row r="401" spans="1:11" x14ac:dyDescent="0.3">
      <c r="A401" t="s">
        <v>1098</v>
      </c>
      <c r="B401" s="1">
        <v>45826</v>
      </c>
      <c r="C401" t="s">
        <v>801</v>
      </c>
      <c r="D401" t="s">
        <v>995</v>
      </c>
      <c r="E401">
        <v>436.2</v>
      </c>
      <c r="F401">
        <v>4</v>
      </c>
      <c r="G401">
        <v>21</v>
      </c>
      <c r="H401">
        <v>0</v>
      </c>
      <c r="I401" t="str">
        <f>VLOOKUP(C401,Table1[#All],3,FALSE)</f>
        <v>Asia</v>
      </c>
      <c r="J401" t="str">
        <f>VLOOKUP(C401,Table1[#All],4,FALSE)</f>
        <v>Corporate</v>
      </c>
      <c r="K401" t="str">
        <f>TEXT(Table13[[#This Row],[Order_Date]],"mmm-yyyy")</f>
        <v>Jun-2025</v>
      </c>
    </row>
    <row r="402" spans="1:11" x14ac:dyDescent="0.3">
      <c r="A402" t="s">
        <v>1097</v>
      </c>
      <c r="B402" s="1">
        <v>44980</v>
      </c>
      <c r="C402" t="s">
        <v>803</v>
      </c>
      <c r="D402" t="s">
        <v>995</v>
      </c>
      <c r="E402">
        <v>2947.2</v>
      </c>
      <c r="F402">
        <v>12</v>
      </c>
      <c r="G402">
        <v>87</v>
      </c>
      <c r="H402">
        <v>0</v>
      </c>
      <c r="I402" t="str">
        <f>VLOOKUP(C402,Table1[#All],3,FALSE)</f>
        <v>Europe</v>
      </c>
      <c r="J402" t="str">
        <f>VLOOKUP(C402,Table1[#All],4,FALSE)</f>
        <v>Consumer</v>
      </c>
      <c r="K402" t="str">
        <f>TEXT(Table13[[#This Row],[Order_Date]],"mmm-yyyy")</f>
        <v>Feb-2023</v>
      </c>
    </row>
    <row r="403" spans="1:11" x14ac:dyDescent="0.3">
      <c r="A403" t="s">
        <v>1096</v>
      </c>
      <c r="B403" s="1">
        <v>45546</v>
      </c>
      <c r="C403" t="s">
        <v>805</v>
      </c>
      <c r="D403" t="s">
        <v>1000</v>
      </c>
      <c r="E403">
        <v>5700.45</v>
      </c>
      <c r="F403">
        <v>15</v>
      </c>
      <c r="G403">
        <v>27</v>
      </c>
      <c r="H403">
        <v>0</v>
      </c>
      <c r="I403" t="str">
        <f>VLOOKUP(C403,Table1[#All],3,FALSE)</f>
        <v>Asia</v>
      </c>
      <c r="J403" t="str">
        <f>VLOOKUP(C403,Table1[#All],4,FALSE)</f>
        <v>Consumer</v>
      </c>
      <c r="K403" t="str">
        <f>TEXT(Table13[[#This Row],[Order_Date]],"mmm-yyyy")</f>
        <v>Sep-2024</v>
      </c>
    </row>
    <row r="404" spans="1:11" x14ac:dyDescent="0.3">
      <c r="A404" t="s">
        <v>1095</v>
      </c>
      <c r="B404" s="1">
        <v>45498</v>
      </c>
      <c r="C404" t="s">
        <v>807</v>
      </c>
      <c r="D404" t="s">
        <v>997</v>
      </c>
      <c r="E404">
        <v>1190.1030000000001</v>
      </c>
      <c r="F404">
        <v>3</v>
      </c>
      <c r="G404">
        <v>39</v>
      </c>
      <c r="H404">
        <v>0.05</v>
      </c>
      <c r="I404" t="str">
        <f>VLOOKUP(C404,Table1[#All],3,FALSE)</f>
        <v>South America</v>
      </c>
      <c r="J404" t="str">
        <f>VLOOKUP(C404,Table1[#All],4,FALSE)</f>
        <v>Consumer</v>
      </c>
      <c r="K404" t="str">
        <f>TEXT(Table13[[#This Row],[Order_Date]],"mmm-yyyy")</f>
        <v>Jul-2024</v>
      </c>
    </row>
    <row r="405" spans="1:11" x14ac:dyDescent="0.3">
      <c r="A405" t="s">
        <v>1094</v>
      </c>
      <c r="B405" s="1">
        <v>45157</v>
      </c>
      <c r="C405" t="s">
        <v>809</v>
      </c>
      <c r="D405" t="s">
        <v>995</v>
      </c>
      <c r="E405">
        <v>5510.1674999999996</v>
      </c>
      <c r="F405">
        <v>15</v>
      </c>
      <c r="G405">
        <v>18</v>
      </c>
      <c r="H405">
        <v>0.15</v>
      </c>
      <c r="I405" t="str">
        <f>VLOOKUP(C405,Table1[#All],3,FALSE)</f>
        <v>Europe</v>
      </c>
      <c r="J405" t="str">
        <f>VLOOKUP(C405,Table1[#All],4,FALSE)</f>
        <v>Home Office</v>
      </c>
      <c r="K405" t="str">
        <f>TEXT(Table13[[#This Row],[Order_Date]],"mmm-yyyy")</f>
        <v>Aug-2023</v>
      </c>
    </row>
    <row r="406" spans="1:11" x14ac:dyDescent="0.3">
      <c r="A406" t="s">
        <v>1093</v>
      </c>
      <c r="B406" s="1">
        <v>45243</v>
      </c>
      <c r="C406" t="s">
        <v>811</v>
      </c>
      <c r="D406" t="s">
        <v>995</v>
      </c>
      <c r="E406">
        <v>6221.7089999999998</v>
      </c>
      <c r="F406">
        <v>13</v>
      </c>
      <c r="G406">
        <v>62</v>
      </c>
      <c r="H406">
        <v>0.1</v>
      </c>
      <c r="I406" t="str">
        <f>VLOOKUP(C406,Table1[#All],3,FALSE)</f>
        <v>South America</v>
      </c>
      <c r="J406" t="str">
        <f>VLOOKUP(C406,Table1[#All],4,FALSE)</f>
        <v>Home Office</v>
      </c>
      <c r="K406" t="str">
        <f>TEXT(Table13[[#This Row],[Order_Date]],"mmm-yyyy")</f>
        <v>Nov-2023</v>
      </c>
    </row>
    <row r="407" spans="1:11" x14ac:dyDescent="0.3">
      <c r="A407" t="s">
        <v>1092</v>
      </c>
      <c r="B407" s="1">
        <v>45574</v>
      </c>
      <c r="C407" t="s">
        <v>813</v>
      </c>
      <c r="D407" t="s">
        <v>995</v>
      </c>
      <c r="E407">
        <v>5470.9264999999996</v>
      </c>
      <c r="F407">
        <v>13</v>
      </c>
      <c r="G407">
        <v>2</v>
      </c>
      <c r="H407">
        <v>0.05</v>
      </c>
      <c r="I407" t="str">
        <f>VLOOKUP(C407,Table1[#All],3,FALSE)</f>
        <v>Europe</v>
      </c>
      <c r="J407" t="str">
        <f>VLOOKUP(C407,Table1[#All],4,FALSE)</f>
        <v>Home Office</v>
      </c>
      <c r="K407" t="str">
        <f>TEXT(Table13[[#This Row],[Order_Date]],"mmm-yyyy")</f>
        <v>Oct-2024</v>
      </c>
    </row>
    <row r="408" spans="1:11" x14ac:dyDescent="0.3">
      <c r="A408" t="s">
        <v>1091</v>
      </c>
      <c r="B408" s="1">
        <v>45534</v>
      </c>
      <c r="C408" t="s">
        <v>815</v>
      </c>
      <c r="D408" t="s">
        <v>995</v>
      </c>
      <c r="E408">
        <v>7377.5</v>
      </c>
      <c r="F408">
        <v>13</v>
      </c>
      <c r="G408">
        <v>6</v>
      </c>
      <c r="H408">
        <v>0</v>
      </c>
      <c r="I408" t="str">
        <f>VLOOKUP(C408,Table1[#All],3,FALSE)</f>
        <v>Africa</v>
      </c>
      <c r="J408" t="str">
        <f>VLOOKUP(C408,Table1[#All],4,FALSE)</f>
        <v>Consumer</v>
      </c>
      <c r="K408" t="str">
        <f>TEXT(Table13[[#This Row],[Order_Date]],"mmm-yyyy")</f>
        <v>Aug-2024</v>
      </c>
    </row>
    <row r="409" spans="1:11" x14ac:dyDescent="0.3">
      <c r="A409" t="s">
        <v>1090</v>
      </c>
      <c r="B409" s="1">
        <v>45576</v>
      </c>
      <c r="C409" t="s">
        <v>817</v>
      </c>
      <c r="D409" t="s">
        <v>995</v>
      </c>
      <c r="E409">
        <v>7042.8</v>
      </c>
      <c r="F409">
        <v>15</v>
      </c>
      <c r="G409">
        <v>-113</v>
      </c>
      <c r="H409">
        <v>0</v>
      </c>
      <c r="I409" t="str">
        <f>VLOOKUP(C409,Table1[#All],3,FALSE)</f>
        <v>Asia</v>
      </c>
      <c r="J409" t="str">
        <f>VLOOKUP(C409,Table1[#All],4,FALSE)</f>
        <v>Corporate</v>
      </c>
      <c r="K409" t="str">
        <f>TEXT(Table13[[#This Row],[Order_Date]],"mmm-yyyy")</f>
        <v>Oct-2024</v>
      </c>
    </row>
    <row r="410" spans="1:11" x14ac:dyDescent="0.3">
      <c r="A410" t="s">
        <v>1089</v>
      </c>
      <c r="B410" s="1">
        <v>45029</v>
      </c>
      <c r="C410" t="s">
        <v>819</v>
      </c>
      <c r="D410" t="s">
        <v>995</v>
      </c>
      <c r="E410">
        <v>336.67649999999998</v>
      </c>
      <c r="F410">
        <v>1</v>
      </c>
      <c r="G410">
        <v>4</v>
      </c>
      <c r="H410">
        <v>0.15</v>
      </c>
      <c r="I410" t="str">
        <f>VLOOKUP(C410,Table1[#All],3,FALSE)</f>
        <v>Asia</v>
      </c>
      <c r="J410" t="str">
        <f>VLOOKUP(C410,Table1[#All],4,FALSE)</f>
        <v>Home Office</v>
      </c>
      <c r="K410" t="str">
        <f>TEXT(Table13[[#This Row],[Order_Date]],"mmm-yyyy")</f>
        <v>Apr-2023</v>
      </c>
    </row>
    <row r="411" spans="1:11" x14ac:dyDescent="0.3">
      <c r="A411" t="s">
        <v>1088</v>
      </c>
      <c r="B411" s="1">
        <v>45250</v>
      </c>
      <c r="C411" t="s">
        <v>821</v>
      </c>
      <c r="D411" t="s">
        <v>995</v>
      </c>
      <c r="E411">
        <v>2231.3220000000001</v>
      </c>
      <c r="F411">
        <v>12</v>
      </c>
      <c r="G411">
        <v>21</v>
      </c>
      <c r="H411">
        <v>0.05</v>
      </c>
      <c r="I411" t="str">
        <f>VLOOKUP(C411,Table1[#All],3,FALSE)</f>
        <v>Asia</v>
      </c>
      <c r="J411" t="str">
        <f>VLOOKUP(C411,Table1[#All],4,FALSE)</f>
        <v>Corporate</v>
      </c>
      <c r="K411" t="str">
        <f>TEXT(Table13[[#This Row],[Order_Date]],"mmm-yyyy")</f>
        <v>Nov-2023</v>
      </c>
    </row>
    <row r="412" spans="1:11" x14ac:dyDescent="0.3">
      <c r="A412" t="s">
        <v>1087</v>
      </c>
      <c r="B412" s="1">
        <v>45761</v>
      </c>
      <c r="C412" t="s">
        <v>421</v>
      </c>
      <c r="D412" t="s">
        <v>995</v>
      </c>
      <c r="E412">
        <v>1752.02</v>
      </c>
      <c r="F412">
        <v>5</v>
      </c>
      <c r="G412">
        <v>-27</v>
      </c>
      <c r="H412">
        <v>0.15</v>
      </c>
      <c r="I412" t="str">
        <f>VLOOKUP(C412,Table1[#All],3,FALSE)</f>
        <v>Europe</v>
      </c>
      <c r="J412" t="str">
        <f>VLOOKUP(C412,Table1[#All],4,FALSE)</f>
        <v>Home Office</v>
      </c>
      <c r="K412" t="str">
        <f>TEXT(Table13[[#This Row],[Order_Date]],"mmm-yyyy")</f>
        <v>Apr-2025</v>
      </c>
    </row>
    <row r="413" spans="1:11" x14ac:dyDescent="0.3">
      <c r="A413" t="s">
        <v>1086</v>
      </c>
      <c r="B413" s="1">
        <v>45019</v>
      </c>
      <c r="C413" t="s">
        <v>308</v>
      </c>
      <c r="D413" t="s">
        <v>995</v>
      </c>
      <c r="E413">
        <v>5221.9750000000004</v>
      </c>
      <c r="F413">
        <v>11</v>
      </c>
      <c r="G413">
        <v>0</v>
      </c>
      <c r="H413">
        <v>0.15</v>
      </c>
      <c r="I413" t="str">
        <f>VLOOKUP(C413,Table1[#All],3,FALSE)</f>
        <v>Africa</v>
      </c>
      <c r="J413" t="str">
        <f>VLOOKUP(C413,Table1[#All],4,FALSE)</f>
        <v>Consumer</v>
      </c>
      <c r="K413" t="str">
        <f>TEXT(Table13[[#This Row],[Order_Date]],"mmm-yyyy")</f>
        <v>Apr-2023</v>
      </c>
    </row>
    <row r="414" spans="1:11" x14ac:dyDescent="0.3">
      <c r="A414" t="s">
        <v>1085</v>
      </c>
      <c r="B414" s="1">
        <v>45612</v>
      </c>
      <c r="C414" t="s">
        <v>825</v>
      </c>
      <c r="D414" t="s">
        <v>995</v>
      </c>
      <c r="E414">
        <v>596.15599999999995</v>
      </c>
      <c r="F414">
        <v>4</v>
      </c>
      <c r="G414">
        <v>-48</v>
      </c>
      <c r="H414">
        <v>0.15</v>
      </c>
      <c r="I414" t="str">
        <f>VLOOKUP(C414,Table1[#All],3,FALSE)</f>
        <v>North America</v>
      </c>
      <c r="J414" t="str">
        <f>VLOOKUP(C414,Table1[#All],4,FALSE)</f>
        <v>Home Office</v>
      </c>
      <c r="K414" t="str">
        <f>TEXT(Table13[[#This Row],[Order_Date]],"mmm-yyyy")</f>
        <v>Nov-2024</v>
      </c>
    </row>
    <row r="415" spans="1:11" x14ac:dyDescent="0.3">
      <c r="A415" t="s">
        <v>1084</v>
      </c>
      <c r="B415" s="1">
        <v>45437</v>
      </c>
      <c r="C415" t="s">
        <v>827</v>
      </c>
      <c r="D415" t="s">
        <v>997</v>
      </c>
      <c r="E415">
        <v>9095.8700000000008</v>
      </c>
      <c r="F415">
        <v>19</v>
      </c>
      <c r="G415">
        <v>102</v>
      </c>
      <c r="H415">
        <v>0</v>
      </c>
      <c r="I415" t="str">
        <f>VLOOKUP(C415,Table1[#All],3,FALSE)</f>
        <v>South America</v>
      </c>
      <c r="J415" t="str">
        <f>VLOOKUP(C415,Table1[#All],4,FALSE)</f>
        <v>Home Office</v>
      </c>
      <c r="K415" t="str">
        <f>TEXT(Table13[[#This Row],[Order_Date]],"mmm-yyyy")</f>
        <v>May-2024</v>
      </c>
    </row>
    <row r="416" spans="1:11" x14ac:dyDescent="0.3">
      <c r="A416" t="s">
        <v>1083</v>
      </c>
      <c r="B416" s="1">
        <v>45264</v>
      </c>
      <c r="C416" t="s">
        <v>829</v>
      </c>
      <c r="D416" t="s">
        <v>1000</v>
      </c>
      <c r="E416">
        <v>1552.865</v>
      </c>
      <c r="F416">
        <v>5</v>
      </c>
      <c r="G416">
        <v>-8</v>
      </c>
      <c r="H416">
        <v>0.15</v>
      </c>
      <c r="I416" t="str">
        <f>VLOOKUP(C416,Table1[#All],3,FALSE)</f>
        <v>Asia</v>
      </c>
      <c r="J416" t="str">
        <f>VLOOKUP(C416,Table1[#All],4,FALSE)</f>
        <v>Home Office</v>
      </c>
      <c r="K416" t="str">
        <f>TEXT(Table13[[#This Row],[Order_Date]],"mmm-yyyy")</f>
        <v>Dec-2023</v>
      </c>
    </row>
    <row r="417" spans="1:11" x14ac:dyDescent="0.3">
      <c r="A417" t="s">
        <v>1082</v>
      </c>
      <c r="B417" s="1">
        <v>45110</v>
      </c>
      <c r="C417" t="s">
        <v>831</v>
      </c>
      <c r="D417" t="s">
        <v>997</v>
      </c>
      <c r="E417">
        <v>3377.3049999999998</v>
      </c>
      <c r="F417">
        <v>10</v>
      </c>
      <c r="G417">
        <v>-41</v>
      </c>
      <c r="H417">
        <v>0.15</v>
      </c>
      <c r="I417" t="str">
        <f>VLOOKUP(C417,Table1[#All],3,FALSE)</f>
        <v>South America</v>
      </c>
      <c r="J417" t="str">
        <f>VLOOKUP(C417,Table1[#All],4,FALSE)</f>
        <v>Consumer</v>
      </c>
      <c r="K417" t="str">
        <f>TEXT(Table13[[#This Row],[Order_Date]],"mmm-yyyy")</f>
        <v>Jul-2023</v>
      </c>
    </row>
    <row r="418" spans="1:11" x14ac:dyDescent="0.3">
      <c r="A418" t="s">
        <v>1081</v>
      </c>
      <c r="B418" s="1">
        <v>45413</v>
      </c>
      <c r="C418" t="s">
        <v>833</v>
      </c>
      <c r="D418" t="s">
        <v>997</v>
      </c>
      <c r="E418">
        <v>3687.453</v>
      </c>
      <c r="F418">
        <v>17</v>
      </c>
      <c r="G418">
        <v>40</v>
      </c>
      <c r="H418">
        <v>0.1</v>
      </c>
      <c r="I418" t="str">
        <f>VLOOKUP(C418,Table1[#All],3,FALSE)</f>
        <v>Africa</v>
      </c>
      <c r="J418" t="str">
        <f>VLOOKUP(C418,Table1[#All],4,FALSE)</f>
        <v>Home Office</v>
      </c>
      <c r="K418" t="str">
        <f>TEXT(Table13[[#This Row],[Order_Date]],"mmm-yyyy")</f>
        <v>May-2024</v>
      </c>
    </row>
    <row r="419" spans="1:11" x14ac:dyDescent="0.3">
      <c r="A419" t="s">
        <v>1080</v>
      </c>
      <c r="B419" s="1">
        <v>45596</v>
      </c>
      <c r="C419" t="s">
        <v>835</v>
      </c>
      <c r="D419" t="s">
        <v>997</v>
      </c>
      <c r="E419">
        <v>1397.4</v>
      </c>
      <c r="F419">
        <v>17</v>
      </c>
      <c r="G419">
        <v>74</v>
      </c>
      <c r="H419">
        <v>0</v>
      </c>
      <c r="I419" t="str">
        <f>VLOOKUP(C419,Table1[#All],3,FALSE)</f>
        <v>Europe</v>
      </c>
      <c r="J419" t="str">
        <f>VLOOKUP(C419,Table1[#All],4,FALSE)</f>
        <v>Consumer</v>
      </c>
      <c r="K419" t="str">
        <f>TEXT(Table13[[#This Row],[Order_Date]],"mmm-yyyy")</f>
        <v>Oct-2024</v>
      </c>
    </row>
    <row r="420" spans="1:11" x14ac:dyDescent="0.3">
      <c r="A420" t="s">
        <v>1079</v>
      </c>
      <c r="B420" s="1">
        <v>45509</v>
      </c>
      <c r="C420" t="s">
        <v>837</v>
      </c>
      <c r="D420" t="s">
        <v>997</v>
      </c>
      <c r="E420">
        <v>2459.0880000000002</v>
      </c>
      <c r="F420">
        <v>16</v>
      </c>
      <c r="G420">
        <v>109</v>
      </c>
      <c r="H420">
        <v>0.1</v>
      </c>
      <c r="I420" t="str">
        <f>VLOOKUP(C420,Table1[#All],3,FALSE)</f>
        <v>Europe</v>
      </c>
      <c r="J420" t="str">
        <f>VLOOKUP(C420,Table1[#All],4,FALSE)</f>
        <v>Home Office</v>
      </c>
      <c r="K420" t="str">
        <f>TEXT(Table13[[#This Row],[Order_Date]],"mmm-yyyy")</f>
        <v>Aug-2024</v>
      </c>
    </row>
    <row r="421" spans="1:11" x14ac:dyDescent="0.3">
      <c r="A421" t="s">
        <v>1078</v>
      </c>
      <c r="B421" s="1">
        <v>45415</v>
      </c>
      <c r="C421" t="s">
        <v>839</v>
      </c>
      <c r="D421" t="s">
        <v>997</v>
      </c>
      <c r="E421">
        <v>6.97</v>
      </c>
      <c r="F421">
        <v>1</v>
      </c>
      <c r="G421">
        <v>-83</v>
      </c>
      <c r="H421">
        <v>0.15</v>
      </c>
      <c r="I421" t="str">
        <f>VLOOKUP(C421,Table1[#All],3,FALSE)</f>
        <v>Africa</v>
      </c>
      <c r="J421" t="str">
        <f>VLOOKUP(C421,Table1[#All],4,FALSE)</f>
        <v>Corporate</v>
      </c>
      <c r="K421" t="str">
        <f>TEXT(Table13[[#This Row],[Order_Date]],"mmm-yyyy")</f>
        <v>May-2024</v>
      </c>
    </row>
    <row r="422" spans="1:11" x14ac:dyDescent="0.3">
      <c r="A422" t="s">
        <v>1077</v>
      </c>
      <c r="B422" s="1">
        <v>45125</v>
      </c>
      <c r="C422" t="s">
        <v>841</v>
      </c>
      <c r="D422" t="s">
        <v>1000</v>
      </c>
      <c r="E422">
        <v>4598.424</v>
      </c>
      <c r="F422">
        <v>12</v>
      </c>
      <c r="G422">
        <v>-42</v>
      </c>
      <c r="H422">
        <v>0.1</v>
      </c>
      <c r="I422" t="str">
        <f>VLOOKUP(C422,Table1[#All],3,FALSE)</f>
        <v>North America</v>
      </c>
      <c r="J422" t="str">
        <f>VLOOKUP(C422,Table1[#All],4,FALSE)</f>
        <v>Home Office</v>
      </c>
      <c r="K422" t="str">
        <f>TEXT(Table13[[#This Row],[Order_Date]],"mmm-yyyy")</f>
        <v>Jul-2023</v>
      </c>
    </row>
    <row r="423" spans="1:11" x14ac:dyDescent="0.3">
      <c r="A423" t="s">
        <v>1076</v>
      </c>
      <c r="B423" s="1">
        <v>45054</v>
      </c>
      <c r="C423" t="s">
        <v>843</v>
      </c>
      <c r="D423" t="s">
        <v>995</v>
      </c>
      <c r="E423">
        <v>2180.52</v>
      </c>
      <c r="F423">
        <v>20</v>
      </c>
      <c r="G423">
        <v>20</v>
      </c>
      <c r="H423">
        <v>0.1</v>
      </c>
      <c r="I423" t="str">
        <f>VLOOKUP(C423,Table1[#All],3,FALSE)</f>
        <v>South America</v>
      </c>
      <c r="J423" t="str">
        <f>VLOOKUP(C423,Table1[#All],4,FALSE)</f>
        <v>Consumer</v>
      </c>
      <c r="K423" t="str">
        <f>TEXT(Table13[[#This Row],[Order_Date]],"mmm-yyyy")</f>
        <v>May-2023</v>
      </c>
    </row>
    <row r="424" spans="1:11" x14ac:dyDescent="0.3">
      <c r="A424" t="s">
        <v>1075</v>
      </c>
      <c r="B424" s="1">
        <v>45187</v>
      </c>
      <c r="C424" t="s">
        <v>845</v>
      </c>
      <c r="D424" t="s">
        <v>995</v>
      </c>
      <c r="E424">
        <v>8514.4699999999993</v>
      </c>
      <c r="F424">
        <v>19</v>
      </c>
      <c r="G424">
        <v>14</v>
      </c>
      <c r="H424">
        <v>0</v>
      </c>
      <c r="I424" t="str">
        <f>VLOOKUP(C424,Table1[#All],3,FALSE)</f>
        <v>Europe</v>
      </c>
      <c r="J424" t="str">
        <f>VLOOKUP(C424,Table1[#All],4,FALSE)</f>
        <v>Home Office</v>
      </c>
      <c r="K424" t="str">
        <f>TEXT(Table13[[#This Row],[Order_Date]],"mmm-yyyy")</f>
        <v>Sep-2023</v>
      </c>
    </row>
    <row r="425" spans="1:11" x14ac:dyDescent="0.3">
      <c r="A425" t="s">
        <v>1074</v>
      </c>
      <c r="B425" s="1">
        <v>45012</v>
      </c>
      <c r="C425" t="s">
        <v>847</v>
      </c>
      <c r="D425" t="s">
        <v>995</v>
      </c>
      <c r="E425">
        <v>56.231999999999999</v>
      </c>
      <c r="F425">
        <v>8</v>
      </c>
      <c r="G425">
        <v>50</v>
      </c>
      <c r="H425">
        <v>0.1</v>
      </c>
      <c r="I425" t="str">
        <f>VLOOKUP(C425,Table1[#All],3,FALSE)</f>
        <v>South America</v>
      </c>
      <c r="J425" t="str">
        <f>VLOOKUP(C425,Table1[#All],4,FALSE)</f>
        <v>Home Office</v>
      </c>
      <c r="K425" t="str">
        <f>TEXT(Table13[[#This Row],[Order_Date]],"mmm-yyyy")</f>
        <v>Mar-2023</v>
      </c>
    </row>
    <row r="426" spans="1:11" x14ac:dyDescent="0.3">
      <c r="A426" t="s">
        <v>1073</v>
      </c>
      <c r="B426" s="1">
        <v>45141</v>
      </c>
      <c r="C426" t="s">
        <v>849</v>
      </c>
      <c r="D426" t="s">
        <v>995</v>
      </c>
      <c r="E426">
        <v>3091.7559999999999</v>
      </c>
      <c r="F426">
        <v>19</v>
      </c>
      <c r="G426">
        <v>-30</v>
      </c>
      <c r="H426">
        <v>0.15</v>
      </c>
      <c r="I426" t="str">
        <f>VLOOKUP(C426,Table1[#All],3,FALSE)</f>
        <v>Asia</v>
      </c>
      <c r="J426" t="str">
        <f>VLOOKUP(C426,Table1[#All],4,FALSE)</f>
        <v>Corporate</v>
      </c>
      <c r="K426" t="str">
        <f>TEXT(Table13[[#This Row],[Order_Date]],"mmm-yyyy")</f>
        <v>Aug-2023</v>
      </c>
    </row>
    <row r="427" spans="1:11" x14ac:dyDescent="0.3">
      <c r="A427" t="s">
        <v>1072</v>
      </c>
      <c r="B427" s="1">
        <v>45327</v>
      </c>
      <c r="C427" t="s">
        <v>851</v>
      </c>
      <c r="D427" t="s">
        <v>995</v>
      </c>
      <c r="E427">
        <v>10000</v>
      </c>
      <c r="F427">
        <v>5</v>
      </c>
      <c r="G427">
        <v>8</v>
      </c>
      <c r="H427">
        <v>0.15</v>
      </c>
      <c r="I427" t="str">
        <f>VLOOKUP(C427,Table1[#All],3,FALSE)</f>
        <v>Europe</v>
      </c>
      <c r="J427" t="str">
        <f>VLOOKUP(C427,Table1[#All],4,FALSE)</f>
        <v>Corporate</v>
      </c>
      <c r="K427" t="str">
        <f>TEXT(Table13[[#This Row],[Order_Date]],"mmm-yyyy")</f>
        <v>Feb-2024</v>
      </c>
    </row>
    <row r="428" spans="1:11" x14ac:dyDescent="0.3">
      <c r="A428" t="s">
        <v>1071</v>
      </c>
      <c r="B428" s="1">
        <v>45185</v>
      </c>
      <c r="C428" t="s">
        <v>853</v>
      </c>
      <c r="D428" t="s">
        <v>995</v>
      </c>
      <c r="E428">
        <v>2360.6965</v>
      </c>
      <c r="F428">
        <v>17</v>
      </c>
      <c r="G428">
        <v>-33</v>
      </c>
      <c r="H428">
        <v>0.15</v>
      </c>
      <c r="I428" t="str">
        <f>VLOOKUP(C428,Table1[#All],3,FALSE)</f>
        <v>North America</v>
      </c>
      <c r="J428" t="str">
        <f>VLOOKUP(C428,Table1[#All],4,FALSE)</f>
        <v>Corporate</v>
      </c>
      <c r="K428" t="str">
        <f>TEXT(Table13[[#This Row],[Order_Date]],"mmm-yyyy")</f>
        <v>Sep-2023</v>
      </c>
    </row>
    <row r="429" spans="1:11" x14ac:dyDescent="0.3">
      <c r="A429" t="s">
        <v>1070</v>
      </c>
      <c r="B429" s="1">
        <v>45090</v>
      </c>
      <c r="C429" t="s">
        <v>855</v>
      </c>
      <c r="D429" t="s">
        <v>995</v>
      </c>
      <c r="E429">
        <v>8175.44</v>
      </c>
      <c r="F429">
        <v>14</v>
      </c>
      <c r="G429">
        <v>-30</v>
      </c>
      <c r="H429">
        <v>0</v>
      </c>
      <c r="I429" t="str">
        <f>VLOOKUP(C429,Table1[#All],3,FALSE)</f>
        <v>South America</v>
      </c>
      <c r="J429" t="str">
        <f>VLOOKUP(C429,Table1[#All],4,FALSE)</f>
        <v>Consumer</v>
      </c>
      <c r="K429" t="str">
        <f>TEXT(Table13[[#This Row],[Order_Date]],"mmm-yyyy")</f>
        <v>Jun-2023</v>
      </c>
    </row>
    <row r="430" spans="1:11" x14ac:dyDescent="0.3">
      <c r="A430" t="s">
        <v>1069</v>
      </c>
      <c r="B430" s="1">
        <v>45057</v>
      </c>
      <c r="C430" t="s">
        <v>857</v>
      </c>
      <c r="D430" t="s">
        <v>995</v>
      </c>
      <c r="E430">
        <v>2607.5520000000001</v>
      </c>
      <c r="F430">
        <v>16</v>
      </c>
      <c r="G430">
        <v>4</v>
      </c>
      <c r="H430">
        <v>0.1</v>
      </c>
      <c r="I430" t="str">
        <f>VLOOKUP(C430,Table1[#All],3,FALSE)</f>
        <v>North America</v>
      </c>
      <c r="J430" t="str">
        <f>VLOOKUP(C430,Table1[#All],4,FALSE)</f>
        <v>Home Office</v>
      </c>
      <c r="K430" t="str">
        <f>TEXT(Table13[[#This Row],[Order_Date]],"mmm-yyyy")</f>
        <v>May-2023</v>
      </c>
    </row>
    <row r="431" spans="1:11" x14ac:dyDescent="0.3">
      <c r="A431" t="s">
        <v>1068</v>
      </c>
      <c r="B431" s="1">
        <v>45619</v>
      </c>
      <c r="C431" t="s">
        <v>859</v>
      </c>
      <c r="D431" t="s">
        <v>995</v>
      </c>
      <c r="E431">
        <v>3319.52</v>
      </c>
      <c r="F431">
        <v>8</v>
      </c>
      <c r="G431">
        <v>21</v>
      </c>
      <c r="H431">
        <v>0</v>
      </c>
      <c r="I431" t="str">
        <f>VLOOKUP(C431,Table1[#All],3,FALSE)</f>
        <v>South America</v>
      </c>
      <c r="J431" t="str">
        <f>VLOOKUP(C431,Table1[#All],4,FALSE)</f>
        <v>Corporate</v>
      </c>
      <c r="K431" t="str">
        <f>TEXT(Table13[[#This Row],[Order_Date]],"mmm-yyyy")</f>
        <v>Nov-2024</v>
      </c>
    </row>
    <row r="432" spans="1:11" x14ac:dyDescent="0.3">
      <c r="A432" t="s">
        <v>1067</v>
      </c>
      <c r="B432" s="1">
        <v>45537</v>
      </c>
      <c r="C432" t="s">
        <v>861</v>
      </c>
      <c r="D432" t="s">
        <v>995</v>
      </c>
      <c r="E432">
        <v>7075.52</v>
      </c>
      <c r="F432">
        <v>16</v>
      </c>
      <c r="G432">
        <v>3</v>
      </c>
      <c r="H432">
        <v>0</v>
      </c>
      <c r="I432" t="str">
        <f>VLOOKUP(C432,Table1[#All],3,FALSE)</f>
        <v>Africa</v>
      </c>
      <c r="J432" t="str">
        <f>VLOOKUP(C432,Table1[#All],4,FALSE)</f>
        <v>Consumer</v>
      </c>
      <c r="K432" t="str">
        <f>TEXT(Table13[[#This Row],[Order_Date]],"mmm-yyyy")</f>
        <v>Sep-2024</v>
      </c>
    </row>
    <row r="433" spans="1:11" x14ac:dyDescent="0.3">
      <c r="A433" t="s">
        <v>1066</v>
      </c>
      <c r="B433" s="1">
        <v>45246</v>
      </c>
      <c r="C433" t="s">
        <v>863</v>
      </c>
      <c r="D433" t="s">
        <v>995</v>
      </c>
      <c r="E433">
        <v>7501.9139999999998</v>
      </c>
      <c r="F433">
        <v>14</v>
      </c>
      <c r="G433">
        <v>62</v>
      </c>
      <c r="H433">
        <v>0.1</v>
      </c>
      <c r="I433" t="str">
        <f>VLOOKUP(C433,Table1[#All],3,FALSE)</f>
        <v>Africa</v>
      </c>
      <c r="J433" t="str">
        <f>VLOOKUP(C433,Table1[#All],4,FALSE)</f>
        <v>Consumer</v>
      </c>
      <c r="K433" t="str">
        <f>TEXT(Table13[[#This Row],[Order_Date]],"mmm-yyyy")</f>
        <v>Nov-2023</v>
      </c>
    </row>
    <row r="434" spans="1:11" x14ac:dyDescent="0.3">
      <c r="A434" t="s">
        <v>1065</v>
      </c>
      <c r="B434" s="1">
        <v>45681</v>
      </c>
      <c r="C434" t="s">
        <v>865</v>
      </c>
      <c r="D434" t="s">
        <v>997</v>
      </c>
      <c r="E434">
        <v>894.03</v>
      </c>
      <c r="F434">
        <v>6</v>
      </c>
      <c r="G434">
        <v>62</v>
      </c>
      <c r="H434">
        <v>0.15</v>
      </c>
      <c r="I434" t="str">
        <f>VLOOKUP(C434,Table1[#All],3,FALSE)</f>
        <v>Africa</v>
      </c>
      <c r="J434" t="str">
        <f>VLOOKUP(C434,Table1[#All],4,FALSE)</f>
        <v>Consumer</v>
      </c>
      <c r="K434" t="str">
        <f>TEXT(Table13[[#This Row],[Order_Date]],"mmm-yyyy")</f>
        <v>Jan-2025</v>
      </c>
    </row>
    <row r="435" spans="1:11" x14ac:dyDescent="0.3">
      <c r="A435" t="s">
        <v>1064</v>
      </c>
      <c r="B435" s="1">
        <v>45813</v>
      </c>
      <c r="C435" t="s">
        <v>867</v>
      </c>
      <c r="D435" t="s">
        <v>995</v>
      </c>
      <c r="E435">
        <v>1901.5605</v>
      </c>
      <c r="F435">
        <v>7</v>
      </c>
      <c r="G435">
        <v>24</v>
      </c>
      <c r="H435">
        <v>0.15</v>
      </c>
      <c r="I435" t="str">
        <f>VLOOKUP(C435,Table1[#All],3,FALSE)</f>
        <v>Africa</v>
      </c>
      <c r="J435" t="str">
        <f>VLOOKUP(C435,Table1[#All],4,FALSE)</f>
        <v>Home Office</v>
      </c>
      <c r="K435" t="str">
        <f>TEXT(Table13[[#This Row],[Order_Date]],"mmm-yyyy")</f>
        <v>Jun-2025</v>
      </c>
    </row>
    <row r="436" spans="1:11" x14ac:dyDescent="0.3">
      <c r="A436" t="s">
        <v>1063</v>
      </c>
      <c r="B436" s="1">
        <v>45794</v>
      </c>
      <c r="C436" t="s">
        <v>869</v>
      </c>
      <c r="D436" t="s">
        <v>995</v>
      </c>
      <c r="E436">
        <v>6461.8275000000003</v>
      </c>
      <c r="F436">
        <v>15</v>
      </c>
      <c r="G436">
        <v>-31</v>
      </c>
      <c r="H436">
        <v>0.15</v>
      </c>
      <c r="I436" t="str">
        <f>VLOOKUP(C436,Table1[#All],3,FALSE)</f>
        <v>Asia</v>
      </c>
      <c r="J436" t="str">
        <f>VLOOKUP(C436,Table1[#All],4,FALSE)</f>
        <v>Home Office</v>
      </c>
      <c r="K436" t="str">
        <f>TEXT(Table13[[#This Row],[Order_Date]],"mmm-yyyy")</f>
        <v>May-2025</v>
      </c>
    </row>
    <row r="437" spans="1:11" x14ac:dyDescent="0.3">
      <c r="A437" t="s">
        <v>1062</v>
      </c>
      <c r="B437" s="1">
        <v>45259</v>
      </c>
      <c r="C437" t="s">
        <v>871</v>
      </c>
      <c r="D437" t="s">
        <v>1000</v>
      </c>
      <c r="E437">
        <v>8689.9920000000002</v>
      </c>
      <c r="F437">
        <v>17</v>
      </c>
      <c r="G437">
        <v>45</v>
      </c>
      <c r="H437">
        <v>0.05</v>
      </c>
      <c r="I437" t="str">
        <f>VLOOKUP(C437,Table1[#All],3,FALSE)</f>
        <v>Africa</v>
      </c>
      <c r="J437" t="str">
        <f>VLOOKUP(C437,Table1[#All],4,FALSE)</f>
        <v>Home Office</v>
      </c>
      <c r="K437" t="str">
        <f>TEXT(Table13[[#This Row],[Order_Date]],"mmm-yyyy")</f>
        <v>Nov-2023</v>
      </c>
    </row>
    <row r="438" spans="1:11" x14ac:dyDescent="0.3">
      <c r="A438" t="s">
        <v>1061</v>
      </c>
      <c r="B438" s="1">
        <v>44981</v>
      </c>
      <c r="C438" t="s">
        <v>873</v>
      </c>
      <c r="D438" t="s">
        <v>995</v>
      </c>
      <c r="E438">
        <v>3005.44</v>
      </c>
      <c r="F438">
        <v>16</v>
      </c>
      <c r="G438">
        <v>52</v>
      </c>
      <c r="H438">
        <v>0</v>
      </c>
      <c r="I438" t="str">
        <f>VLOOKUP(C438,Table1[#All],3,FALSE)</f>
        <v>South America</v>
      </c>
      <c r="J438" t="str">
        <f>VLOOKUP(C438,Table1[#All],4,FALSE)</f>
        <v>Consumer</v>
      </c>
      <c r="K438" t="str">
        <f>TEXT(Table13[[#This Row],[Order_Date]],"mmm-yyyy")</f>
        <v>Feb-2023</v>
      </c>
    </row>
    <row r="439" spans="1:11" x14ac:dyDescent="0.3">
      <c r="A439" t="s">
        <v>1060</v>
      </c>
      <c r="B439" s="1">
        <v>45027</v>
      </c>
      <c r="C439" t="s">
        <v>875</v>
      </c>
      <c r="D439" t="s">
        <v>995</v>
      </c>
      <c r="E439">
        <v>6522.39</v>
      </c>
      <c r="F439">
        <v>18</v>
      </c>
      <c r="G439">
        <v>2</v>
      </c>
      <c r="H439">
        <v>0.15</v>
      </c>
      <c r="I439" t="str">
        <f>VLOOKUP(C439,Table1[#All],3,FALSE)</f>
        <v>South America</v>
      </c>
      <c r="J439" t="str">
        <f>VLOOKUP(C439,Table1[#All],4,FALSE)</f>
        <v>Corporate</v>
      </c>
      <c r="K439" t="str">
        <f>TEXT(Table13[[#This Row],[Order_Date]],"mmm-yyyy")</f>
        <v>Apr-2023</v>
      </c>
    </row>
    <row r="440" spans="1:11" x14ac:dyDescent="0.3">
      <c r="A440" t="s">
        <v>1059</v>
      </c>
      <c r="B440" s="1">
        <v>45458</v>
      </c>
      <c r="C440" t="s">
        <v>877</v>
      </c>
      <c r="D440" t="s">
        <v>997</v>
      </c>
      <c r="E440">
        <v>448.51499999999999</v>
      </c>
      <c r="F440">
        <v>1</v>
      </c>
      <c r="G440">
        <v>-63</v>
      </c>
      <c r="H440">
        <v>0.1</v>
      </c>
      <c r="I440" t="str">
        <f>VLOOKUP(C440,Table1[#All],3,FALSE)</f>
        <v>Asia</v>
      </c>
      <c r="J440" t="str">
        <f>VLOOKUP(C440,Table1[#All],4,FALSE)</f>
        <v>Home Office</v>
      </c>
      <c r="K440" t="str">
        <f>TEXT(Table13[[#This Row],[Order_Date]],"mmm-yyyy")</f>
        <v>Jun-2024</v>
      </c>
    </row>
    <row r="441" spans="1:11" x14ac:dyDescent="0.3">
      <c r="A441" t="s">
        <v>1058</v>
      </c>
      <c r="B441" s="1">
        <v>45332</v>
      </c>
      <c r="C441" t="s">
        <v>879</v>
      </c>
      <c r="D441" t="s">
        <v>1000</v>
      </c>
      <c r="E441">
        <v>6962.2460000000001</v>
      </c>
      <c r="F441">
        <v>19</v>
      </c>
      <c r="G441">
        <v>-28</v>
      </c>
      <c r="H441">
        <v>0.05</v>
      </c>
      <c r="I441" t="str">
        <f>VLOOKUP(C441,Table1[#All],3,FALSE)</f>
        <v>North America</v>
      </c>
      <c r="J441" t="str">
        <f>VLOOKUP(C441,Table1[#All],4,FALSE)</f>
        <v>Corporate</v>
      </c>
      <c r="K441" t="str">
        <f>TEXT(Table13[[#This Row],[Order_Date]],"mmm-yyyy")</f>
        <v>Feb-2024</v>
      </c>
    </row>
    <row r="442" spans="1:11" x14ac:dyDescent="0.3">
      <c r="A442" t="s">
        <v>1057</v>
      </c>
      <c r="B442" s="1">
        <v>44991</v>
      </c>
      <c r="C442" t="s">
        <v>881</v>
      </c>
      <c r="D442" t="s">
        <v>995</v>
      </c>
      <c r="E442">
        <v>146.79900000000001</v>
      </c>
      <c r="F442">
        <v>3</v>
      </c>
      <c r="G442">
        <v>27</v>
      </c>
      <c r="H442">
        <v>0.1</v>
      </c>
      <c r="I442" t="str">
        <f>VLOOKUP(C442,Table1[#All],3,FALSE)</f>
        <v>Europe</v>
      </c>
      <c r="J442" t="str">
        <f>VLOOKUP(C442,Table1[#All],4,FALSE)</f>
        <v>Home Office</v>
      </c>
      <c r="K442" t="str">
        <f>TEXT(Table13[[#This Row],[Order_Date]],"mmm-yyyy")</f>
        <v>Mar-2023</v>
      </c>
    </row>
    <row r="443" spans="1:11" x14ac:dyDescent="0.3">
      <c r="A443" t="s">
        <v>1056</v>
      </c>
      <c r="B443" s="1">
        <v>45208</v>
      </c>
      <c r="C443" t="s">
        <v>883</v>
      </c>
      <c r="D443" t="s">
        <v>997</v>
      </c>
      <c r="E443">
        <v>2405.8739999999998</v>
      </c>
      <c r="F443">
        <v>6</v>
      </c>
      <c r="G443">
        <v>-21</v>
      </c>
      <c r="H443">
        <v>0.15</v>
      </c>
      <c r="I443" t="str">
        <f>VLOOKUP(C443,Table1[#All],3,FALSE)</f>
        <v>Asia</v>
      </c>
      <c r="J443" t="str">
        <f>VLOOKUP(C443,Table1[#All],4,FALSE)</f>
        <v>Corporate</v>
      </c>
      <c r="K443" t="str">
        <f>TEXT(Table13[[#This Row],[Order_Date]],"mmm-yyyy")</f>
        <v>Oct-2023</v>
      </c>
    </row>
    <row r="444" spans="1:11" x14ac:dyDescent="0.3">
      <c r="A444" t="s">
        <v>1055</v>
      </c>
      <c r="B444" s="1">
        <v>45797</v>
      </c>
      <c r="C444" t="s">
        <v>885</v>
      </c>
      <c r="D444" t="s">
        <v>1000</v>
      </c>
      <c r="E444">
        <v>5205.3064999999997</v>
      </c>
      <c r="F444">
        <v>19</v>
      </c>
      <c r="G444">
        <v>6</v>
      </c>
      <c r="H444">
        <v>0.15</v>
      </c>
      <c r="I444" t="str">
        <f>VLOOKUP(C444,Table1[#All],3,FALSE)</f>
        <v>Africa</v>
      </c>
      <c r="J444" t="str">
        <f>VLOOKUP(C444,Table1[#All],4,FALSE)</f>
        <v>Home Office</v>
      </c>
      <c r="K444" t="str">
        <f>TEXT(Table13[[#This Row],[Order_Date]],"mmm-yyyy")</f>
        <v>May-2025</v>
      </c>
    </row>
    <row r="445" spans="1:11" x14ac:dyDescent="0.3">
      <c r="A445" t="s">
        <v>1054</v>
      </c>
      <c r="B445" s="1">
        <v>45193</v>
      </c>
      <c r="C445" t="s">
        <v>887</v>
      </c>
      <c r="D445" t="s">
        <v>995</v>
      </c>
      <c r="E445">
        <v>1355.5619999999999</v>
      </c>
      <c r="F445">
        <v>13</v>
      </c>
      <c r="G445">
        <v>111</v>
      </c>
      <c r="H445">
        <v>0.1</v>
      </c>
      <c r="I445" t="str">
        <f>VLOOKUP(C445,Table1[#All],3,FALSE)</f>
        <v>North America</v>
      </c>
      <c r="J445" t="str">
        <f>VLOOKUP(C445,Table1[#All],4,FALSE)</f>
        <v>Home Office</v>
      </c>
      <c r="K445" t="str">
        <f>TEXT(Table13[[#This Row],[Order_Date]],"mmm-yyyy")</f>
        <v>Sep-2023</v>
      </c>
    </row>
    <row r="446" spans="1:11" x14ac:dyDescent="0.3">
      <c r="A446" t="s">
        <v>1053</v>
      </c>
      <c r="B446" s="1">
        <v>45745</v>
      </c>
      <c r="C446" t="s">
        <v>889</v>
      </c>
      <c r="D446" t="s">
        <v>995</v>
      </c>
      <c r="E446">
        <v>6451.8119999999999</v>
      </c>
      <c r="F446">
        <v>18</v>
      </c>
      <c r="G446">
        <v>2</v>
      </c>
      <c r="H446">
        <v>0.1</v>
      </c>
      <c r="I446" t="str">
        <f>VLOOKUP(C446,Table1[#All],3,FALSE)</f>
        <v>Asia</v>
      </c>
      <c r="J446" t="str">
        <f>VLOOKUP(C446,Table1[#All],4,FALSE)</f>
        <v>Home Office</v>
      </c>
      <c r="K446" t="str">
        <f>TEXT(Table13[[#This Row],[Order_Date]],"mmm-yyyy")</f>
        <v>Mar-2025</v>
      </c>
    </row>
    <row r="447" spans="1:11" x14ac:dyDescent="0.3">
      <c r="A447" t="s">
        <v>1052</v>
      </c>
      <c r="B447" s="1">
        <v>45094</v>
      </c>
      <c r="C447" t="s">
        <v>891</v>
      </c>
      <c r="D447" t="s">
        <v>995</v>
      </c>
      <c r="E447">
        <v>2105.2800000000002</v>
      </c>
      <c r="F447">
        <v>4</v>
      </c>
      <c r="G447">
        <v>-12</v>
      </c>
      <c r="H447">
        <v>0.1</v>
      </c>
      <c r="I447" t="str">
        <f>VLOOKUP(C447,Table1[#All],3,FALSE)</f>
        <v>Asia</v>
      </c>
      <c r="J447" t="str">
        <f>VLOOKUP(C447,Table1[#All],4,FALSE)</f>
        <v>Consumer</v>
      </c>
      <c r="K447" t="str">
        <f>TEXT(Table13[[#This Row],[Order_Date]],"mmm-yyyy")</f>
        <v>Jun-2023</v>
      </c>
    </row>
    <row r="448" spans="1:11" x14ac:dyDescent="0.3">
      <c r="A448" t="s">
        <v>1051</v>
      </c>
      <c r="B448" s="1">
        <v>45319</v>
      </c>
      <c r="C448" t="s">
        <v>893</v>
      </c>
      <c r="D448" t="s">
        <v>997</v>
      </c>
      <c r="E448">
        <v>7219.9</v>
      </c>
      <c r="F448">
        <v>20</v>
      </c>
      <c r="G448">
        <v>-86</v>
      </c>
      <c r="H448">
        <v>0.15</v>
      </c>
      <c r="I448" t="str">
        <f>VLOOKUP(C448,Table1[#All],3,FALSE)</f>
        <v>Europe</v>
      </c>
      <c r="J448" t="str">
        <f>VLOOKUP(C448,Table1[#All],4,FALSE)</f>
        <v>Corporate</v>
      </c>
      <c r="K448" t="str">
        <f>TEXT(Table13[[#This Row],[Order_Date]],"mmm-yyyy")</f>
        <v>Jan-2024</v>
      </c>
    </row>
    <row r="449" spans="1:11" x14ac:dyDescent="0.3">
      <c r="A449" t="s">
        <v>1050</v>
      </c>
      <c r="B449" s="1">
        <v>44999</v>
      </c>
      <c r="C449" t="s">
        <v>895</v>
      </c>
      <c r="D449" t="s">
        <v>995</v>
      </c>
      <c r="E449">
        <v>2580.768</v>
      </c>
      <c r="F449">
        <v>16</v>
      </c>
      <c r="G449">
        <v>-25</v>
      </c>
      <c r="H449">
        <v>0.1</v>
      </c>
      <c r="I449" t="str">
        <f>VLOOKUP(C449,Table1[#All],3,FALSE)</f>
        <v>Africa</v>
      </c>
      <c r="J449" t="str">
        <f>VLOOKUP(C449,Table1[#All],4,FALSE)</f>
        <v>Corporate</v>
      </c>
      <c r="K449" t="str">
        <f>TEXT(Table13[[#This Row],[Order_Date]],"mmm-yyyy")</f>
        <v>Mar-2023</v>
      </c>
    </row>
    <row r="450" spans="1:11" x14ac:dyDescent="0.3">
      <c r="A450" t="s">
        <v>1049</v>
      </c>
      <c r="B450" s="1">
        <v>45901</v>
      </c>
      <c r="C450" t="s">
        <v>897</v>
      </c>
      <c r="D450" t="s">
        <v>995</v>
      </c>
      <c r="E450">
        <v>1783.92</v>
      </c>
      <c r="F450">
        <v>12</v>
      </c>
      <c r="G450">
        <v>2</v>
      </c>
      <c r="H450">
        <v>0</v>
      </c>
      <c r="I450" t="str">
        <f>VLOOKUP(C450,Table1[#All],3,FALSE)</f>
        <v>Asia</v>
      </c>
      <c r="J450" t="str">
        <f>VLOOKUP(C450,Table1[#All],4,FALSE)</f>
        <v>Consumer</v>
      </c>
      <c r="K450" t="str">
        <f>TEXT(Table13[[#This Row],[Order_Date]],"mmm-yyyy")</f>
        <v>Sep-2025</v>
      </c>
    </row>
    <row r="451" spans="1:11" x14ac:dyDescent="0.3">
      <c r="A451" t="s">
        <v>1048</v>
      </c>
      <c r="B451" s="1">
        <v>45746</v>
      </c>
      <c r="C451" t="s">
        <v>899</v>
      </c>
      <c r="D451" t="s">
        <v>995</v>
      </c>
      <c r="E451">
        <v>6261.848</v>
      </c>
      <c r="F451">
        <v>16</v>
      </c>
      <c r="G451">
        <v>-206</v>
      </c>
      <c r="H451">
        <v>0.15</v>
      </c>
      <c r="I451" t="str">
        <f>VLOOKUP(C451,Table1[#All],3,FALSE)</f>
        <v>Africa</v>
      </c>
      <c r="J451" t="str">
        <f>VLOOKUP(C451,Table1[#All],4,FALSE)</f>
        <v>Consumer</v>
      </c>
      <c r="K451" t="str">
        <f>TEXT(Table13[[#This Row],[Order_Date]],"mmm-yyyy")</f>
        <v>Mar-2025</v>
      </c>
    </row>
    <row r="452" spans="1:11" x14ac:dyDescent="0.3">
      <c r="A452" t="s">
        <v>1047</v>
      </c>
      <c r="B452" s="1">
        <v>45222</v>
      </c>
      <c r="C452" t="s">
        <v>464</v>
      </c>
      <c r="D452" t="s">
        <v>995</v>
      </c>
      <c r="E452">
        <v>1588.2574999999999</v>
      </c>
      <c r="F452">
        <v>5</v>
      </c>
      <c r="G452">
        <v>8</v>
      </c>
      <c r="H452">
        <v>0.05</v>
      </c>
      <c r="I452" t="str">
        <f>VLOOKUP(C452,Table1[#All],3,FALSE)</f>
        <v>South America</v>
      </c>
      <c r="J452" t="str">
        <f>VLOOKUP(C452,Table1[#All],4,FALSE)</f>
        <v>Corporate</v>
      </c>
      <c r="K452" t="str">
        <f>TEXT(Table13[[#This Row],[Order_Date]],"mmm-yyyy")</f>
        <v>Oct-2023</v>
      </c>
    </row>
    <row r="453" spans="1:11" x14ac:dyDescent="0.3">
      <c r="A453" t="s">
        <v>1046</v>
      </c>
      <c r="B453" s="1">
        <v>45875</v>
      </c>
      <c r="C453" t="s">
        <v>902</v>
      </c>
      <c r="D453" t="s">
        <v>1000</v>
      </c>
      <c r="E453">
        <v>1529.2860000000001</v>
      </c>
      <c r="F453">
        <v>3</v>
      </c>
      <c r="G453">
        <v>-24</v>
      </c>
      <c r="H453">
        <v>0.15</v>
      </c>
      <c r="I453" t="str">
        <f>VLOOKUP(C453,Table1[#All],3,FALSE)</f>
        <v>Europe</v>
      </c>
      <c r="J453" t="str">
        <f>VLOOKUP(C453,Table1[#All],4,FALSE)</f>
        <v>Corporate</v>
      </c>
      <c r="K453" t="str">
        <f>TEXT(Table13[[#This Row],[Order_Date]],"mmm-yyyy")</f>
        <v>Aug-2025</v>
      </c>
    </row>
    <row r="454" spans="1:11" x14ac:dyDescent="0.3">
      <c r="A454" t="s">
        <v>1045</v>
      </c>
      <c r="B454" s="1">
        <v>45348</v>
      </c>
      <c r="C454" t="s">
        <v>904</v>
      </c>
      <c r="D454" t="s">
        <v>995</v>
      </c>
      <c r="E454">
        <v>4288.24</v>
      </c>
      <c r="F454">
        <v>11</v>
      </c>
      <c r="G454">
        <v>64</v>
      </c>
      <c r="H454">
        <v>0</v>
      </c>
      <c r="I454" t="str">
        <f>VLOOKUP(C454,Table1[#All],3,FALSE)</f>
        <v>Europe</v>
      </c>
      <c r="J454" t="str">
        <f>VLOOKUP(C454,Table1[#All],4,FALSE)</f>
        <v>Consumer</v>
      </c>
      <c r="K454" t="str">
        <f>TEXT(Table13[[#This Row],[Order_Date]],"mmm-yyyy")</f>
        <v>Feb-2024</v>
      </c>
    </row>
    <row r="455" spans="1:11" x14ac:dyDescent="0.3">
      <c r="A455" t="s">
        <v>1044</v>
      </c>
      <c r="B455" s="1">
        <v>45595</v>
      </c>
      <c r="C455" t="s">
        <v>906</v>
      </c>
      <c r="D455" t="s">
        <v>1000</v>
      </c>
      <c r="E455">
        <v>4412.9250000000002</v>
      </c>
      <c r="F455">
        <v>11</v>
      </c>
      <c r="G455">
        <v>276</v>
      </c>
      <c r="H455">
        <v>0.1</v>
      </c>
      <c r="I455" t="str">
        <f>VLOOKUP(C455,Table1[#All],3,FALSE)</f>
        <v>Asia</v>
      </c>
      <c r="J455" t="str">
        <f>VLOOKUP(C455,Table1[#All],4,FALSE)</f>
        <v>Home Office</v>
      </c>
      <c r="K455" t="str">
        <f>TEXT(Table13[[#This Row],[Order_Date]],"mmm-yyyy")</f>
        <v>Oct-2024</v>
      </c>
    </row>
    <row r="456" spans="1:11" x14ac:dyDescent="0.3">
      <c r="A456" t="s">
        <v>1043</v>
      </c>
      <c r="B456" s="1">
        <v>45523</v>
      </c>
      <c r="C456" t="s">
        <v>908</v>
      </c>
      <c r="D456" t="s">
        <v>995</v>
      </c>
      <c r="E456">
        <v>1481.652</v>
      </c>
      <c r="F456">
        <v>18</v>
      </c>
      <c r="G456">
        <v>-46</v>
      </c>
      <c r="H456">
        <v>0.15</v>
      </c>
      <c r="I456" t="str">
        <f>VLOOKUP(C456,Table1[#All],3,FALSE)</f>
        <v>South America</v>
      </c>
      <c r="J456" t="str">
        <f>VLOOKUP(C456,Table1[#All],4,FALSE)</f>
        <v>Consumer</v>
      </c>
      <c r="K456" t="str">
        <f>TEXT(Table13[[#This Row],[Order_Date]],"mmm-yyyy")</f>
        <v>Aug-2024</v>
      </c>
    </row>
    <row r="457" spans="1:11" x14ac:dyDescent="0.3">
      <c r="A457" t="s">
        <v>1042</v>
      </c>
      <c r="B457" s="1">
        <v>45137</v>
      </c>
      <c r="C457" t="s">
        <v>54</v>
      </c>
      <c r="D457" t="s">
        <v>995</v>
      </c>
      <c r="E457">
        <v>475.47899999999998</v>
      </c>
      <c r="F457">
        <v>1</v>
      </c>
      <c r="G457">
        <v>-18</v>
      </c>
      <c r="H457">
        <v>0.1</v>
      </c>
      <c r="I457" t="str">
        <f>VLOOKUP(C457,Table1[#All],3,FALSE)</f>
        <v>Africa</v>
      </c>
      <c r="J457" t="str">
        <f>VLOOKUP(C457,Table1[#All],4,FALSE)</f>
        <v>Consumer</v>
      </c>
      <c r="K457" t="str">
        <f>TEXT(Table13[[#This Row],[Order_Date]],"mmm-yyyy")</f>
        <v>Jul-2023</v>
      </c>
    </row>
    <row r="458" spans="1:11" x14ac:dyDescent="0.3">
      <c r="A458" t="s">
        <v>1041</v>
      </c>
      <c r="B458" s="1">
        <v>45517</v>
      </c>
      <c r="C458" t="s">
        <v>911</v>
      </c>
      <c r="D458" t="s">
        <v>997</v>
      </c>
      <c r="E458">
        <v>1024.48</v>
      </c>
      <c r="F458">
        <v>16</v>
      </c>
      <c r="G458">
        <v>6</v>
      </c>
      <c r="H458">
        <v>0</v>
      </c>
      <c r="I458" t="str">
        <f>VLOOKUP(C458,Table1[#All],3,FALSE)</f>
        <v>North America</v>
      </c>
      <c r="J458" t="str">
        <f>VLOOKUP(C458,Table1[#All],4,FALSE)</f>
        <v>Corporate</v>
      </c>
      <c r="K458" t="str">
        <f>TEXT(Table13[[#This Row],[Order_Date]],"mmm-yyyy")</f>
        <v>Aug-2024</v>
      </c>
    </row>
    <row r="459" spans="1:11" x14ac:dyDescent="0.3">
      <c r="A459" t="s">
        <v>1040</v>
      </c>
      <c r="B459" s="1">
        <v>45027</v>
      </c>
      <c r="C459" t="s">
        <v>913</v>
      </c>
      <c r="D459" t="s">
        <v>995</v>
      </c>
      <c r="E459">
        <v>2215.2195000000002</v>
      </c>
      <c r="F459">
        <v>13</v>
      </c>
      <c r="G459">
        <v>9</v>
      </c>
      <c r="H459">
        <v>0.05</v>
      </c>
      <c r="I459" t="str">
        <f>VLOOKUP(C459,Table1[#All],3,FALSE)</f>
        <v>North America</v>
      </c>
      <c r="J459" t="str">
        <f>VLOOKUP(C459,Table1[#All],4,FALSE)</f>
        <v>Corporate</v>
      </c>
      <c r="K459" t="str">
        <f>TEXT(Table13[[#This Row],[Order_Date]],"mmm-yyyy")</f>
        <v>Apr-2023</v>
      </c>
    </row>
    <row r="460" spans="1:11" x14ac:dyDescent="0.3">
      <c r="A460" t="s">
        <v>1039</v>
      </c>
      <c r="B460" s="1">
        <v>45783</v>
      </c>
      <c r="C460" t="s">
        <v>915</v>
      </c>
      <c r="D460" t="s">
        <v>995</v>
      </c>
      <c r="E460">
        <v>9331.85</v>
      </c>
      <c r="F460">
        <v>19</v>
      </c>
      <c r="G460">
        <v>19</v>
      </c>
      <c r="H460">
        <v>0</v>
      </c>
      <c r="I460" t="str">
        <f>VLOOKUP(C460,Table1[#All],3,FALSE)</f>
        <v>Asia</v>
      </c>
      <c r="J460" t="str">
        <f>VLOOKUP(C460,Table1[#All],4,FALSE)</f>
        <v>Corporate</v>
      </c>
      <c r="K460" t="str">
        <f>TEXT(Table13[[#This Row],[Order_Date]],"mmm-yyyy")</f>
        <v>May-2025</v>
      </c>
    </row>
    <row r="461" spans="1:11" x14ac:dyDescent="0.3">
      <c r="A461" t="s">
        <v>1038</v>
      </c>
      <c r="B461" s="1">
        <v>45100</v>
      </c>
      <c r="C461" t="s">
        <v>917</v>
      </c>
      <c r="D461" t="s">
        <v>997</v>
      </c>
      <c r="E461">
        <v>1801.7</v>
      </c>
      <c r="F461">
        <v>5</v>
      </c>
      <c r="G461">
        <v>-16</v>
      </c>
      <c r="H461">
        <v>0</v>
      </c>
      <c r="I461" t="str">
        <f>VLOOKUP(C461,Table1[#All],3,FALSE)</f>
        <v>North America</v>
      </c>
      <c r="J461" t="str">
        <f>VLOOKUP(C461,Table1[#All],4,FALSE)</f>
        <v>Home Office</v>
      </c>
      <c r="K461" t="str">
        <f>TEXT(Table13[[#This Row],[Order_Date]],"mmm-yyyy")</f>
        <v>Jun-2023</v>
      </c>
    </row>
    <row r="462" spans="1:11" x14ac:dyDescent="0.3">
      <c r="A462" t="s">
        <v>1037</v>
      </c>
      <c r="B462" s="1">
        <v>45556</v>
      </c>
      <c r="C462" t="s">
        <v>919</v>
      </c>
      <c r="D462" t="s">
        <v>995</v>
      </c>
      <c r="E462">
        <v>5342.4</v>
      </c>
      <c r="F462">
        <v>20</v>
      </c>
      <c r="G462">
        <v>0</v>
      </c>
      <c r="H462">
        <v>0.1</v>
      </c>
      <c r="I462" t="str">
        <f>VLOOKUP(C462,Table1[#All],3,FALSE)</f>
        <v>South America</v>
      </c>
      <c r="J462" t="str">
        <f>VLOOKUP(C462,Table1[#All],4,FALSE)</f>
        <v>Consumer</v>
      </c>
      <c r="K462" t="str">
        <f>TEXT(Table13[[#This Row],[Order_Date]],"mmm-yyyy")</f>
        <v>Sep-2024</v>
      </c>
    </row>
    <row r="463" spans="1:11" x14ac:dyDescent="0.3">
      <c r="A463" t="s">
        <v>1036</v>
      </c>
      <c r="B463" s="1">
        <v>45292</v>
      </c>
      <c r="C463" t="s">
        <v>921</v>
      </c>
      <c r="D463" t="s">
        <v>997</v>
      </c>
      <c r="E463">
        <v>1618.434</v>
      </c>
      <c r="F463">
        <v>3</v>
      </c>
      <c r="G463">
        <v>-7</v>
      </c>
      <c r="H463">
        <v>0.1</v>
      </c>
      <c r="I463" t="str">
        <f>VLOOKUP(C463,Table1[#All],3,FALSE)</f>
        <v>South America</v>
      </c>
      <c r="J463" t="str">
        <f>VLOOKUP(C463,Table1[#All],4,FALSE)</f>
        <v>Corporate</v>
      </c>
      <c r="K463" t="str">
        <f>TEXT(Table13[[#This Row],[Order_Date]],"mmm-yyyy")</f>
        <v>Jan-2024</v>
      </c>
    </row>
    <row r="464" spans="1:11" x14ac:dyDescent="0.3">
      <c r="A464" t="s">
        <v>1035</v>
      </c>
      <c r="B464" s="1">
        <v>45689</v>
      </c>
      <c r="C464" t="s">
        <v>923</v>
      </c>
      <c r="D464" t="s">
        <v>995</v>
      </c>
      <c r="E464">
        <v>374.33</v>
      </c>
      <c r="F464">
        <v>1</v>
      </c>
      <c r="G464">
        <v>13</v>
      </c>
      <c r="H464">
        <v>0</v>
      </c>
      <c r="I464" t="str">
        <f>VLOOKUP(C464,Table1[#All],3,FALSE)</f>
        <v>Europe</v>
      </c>
      <c r="J464" t="str">
        <f>VLOOKUP(C464,Table1[#All],4,FALSE)</f>
        <v>Consumer</v>
      </c>
      <c r="K464" t="str">
        <f>TEXT(Table13[[#This Row],[Order_Date]],"mmm-yyyy")</f>
        <v>Feb-2025</v>
      </c>
    </row>
    <row r="465" spans="1:11" x14ac:dyDescent="0.3">
      <c r="A465" t="s">
        <v>1034</v>
      </c>
      <c r="B465" s="1">
        <v>45365</v>
      </c>
      <c r="C465" t="s">
        <v>925</v>
      </c>
      <c r="D465" t="s">
        <v>997</v>
      </c>
      <c r="E465">
        <v>6506.24</v>
      </c>
      <c r="F465">
        <v>13</v>
      </c>
      <c r="G465">
        <v>-117</v>
      </c>
      <c r="H465">
        <v>0.15</v>
      </c>
      <c r="I465" t="str">
        <f>VLOOKUP(C465,Table1[#All],3,FALSE)</f>
        <v>North America</v>
      </c>
      <c r="J465" t="str">
        <f>VLOOKUP(C465,Table1[#All],4,FALSE)</f>
        <v>Home Office</v>
      </c>
      <c r="K465" t="str">
        <f>TEXT(Table13[[#This Row],[Order_Date]],"mmm-yyyy")</f>
        <v>Mar-2024</v>
      </c>
    </row>
    <row r="466" spans="1:11" x14ac:dyDescent="0.3">
      <c r="A466" t="s">
        <v>1033</v>
      </c>
      <c r="B466" s="1">
        <v>45387</v>
      </c>
      <c r="C466" t="s">
        <v>927</v>
      </c>
      <c r="D466" t="s">
        <v>995</v>
      </c>
      <c r="E466">
        <v>2579.7199999999998</v>
      </c>
      <c r="F466">
        <v>13</v>
      </c>
      <c r="G466">
        <v>-146</v>
      </c>
      <c r="H466">
        <v>0</v>
      </c>
      <c r="I466" t="str">
        <f>VLOOKUP(C466,Table1[#All],3,FALSE)</f>
        <v>Europe</v>
      </c>
      <c r="J466" t="str">
        <f>VLOOKUP(C466,Table1[#All],4,FALSE)</f>
        <v>Corporate</v>
      </c>
      <c r="K466" t="str">
        <f>TEXT(Table13[[#This Row],[Order_Date]],"mmm-yyyy")</f>
        <v>Apr-2024</v>
      </c>
    </row>
    <row r="467" spans="1:11" x14ac:dyDescent="0.3">
      <c r="A467" t="s">
        <v>1032</v>
      </c>
      <c r="B467" s="1">
        <v>45715</v>
      </c>
      <c r="C467" t="s">
        <v>622</v>
      </c>
      <c r="D467" t="s">
        <v>995</v>
      </c>
      <c r="E467">
        <v>4610.3999999999996</v>
      </c>
      <c r="F467">
        <v>12</v>
      </c>
      <c r="G467">
        <v>87</v>
      </c>
      <c r="H467">
        <v>0</v>
      </c>
      <c r="I467" t="str">
        <f>VLOOKUP(C467,Table1[#All],3,FALSE)</f>
        <v>South America</v>
      </c>
      <c r="J467" t="str">
        <f>VLOOKUP(C467,Table1[#All],4,FALSE)</f>
        <v>Home Office</v>
      </c>
      <c r="K467" t="str">
        <f>TEXT(Table13[[#This Row],[Order_Date]],"mmm-yyyy")</f>
        <v>Feb-2025</v>
      </c>
    </row>
    <row r="468" spans="1:11" x14ac:dyDescent="0.3">
      <c r="A468" t="s">
        <v>1031</v>
      </c>
      <c r="B468" s="1">
        <v>45609</v>
      </c>
      <c r="C468" t="s">
        <v>930</v>
      </c>
      <c r="D468" t="s">
        <v>995</v>
      </c>
      <c r="E468">
        <v>1616.6659999999999</v>
      </c>
      <c r="F468">
        <v>4</v>
      </c>
      <c r="G468">
        <v>2</v>
      </c>
      <c r="H468">
        <v>0.15</v>
      </c>
      <c r="I468" t="str">
        <f>VLOOKUP(C468,Table1[#All],3,FALSE)</f>
        <v>Africa</v>
      </c>
      <c r="J468" t="str">
        <f>VLOOKUP(C468,Table1[#All],4,FALSE)</f>
        <v>Corporate</v>
      </c>
      <c r="K468" t="str">
        <f>TEXT(Table13[[#This Row],[Order_Date]],"mmm-yyyy")</f>
        <v>Nov-2024</v>
      </c>
    </row>
    <row r="469" spans="1:11" x14ac:dyDescent="0.3">
      <c r="A469" t="s">
        <v>1030</v>
      </c>
      <c r="B469" s="1">
        <v>45230</v>
      </c>
      <c r="C469" t="s">
        <v>932</v>
      </c>
      <c r="D469" t="s">
        <v>995</v>
      </c>
      <c r="E469">
        <v>1096.038</v>
      </c>
      <c r="F469">
        <v>6</v>
      </c>
      <c r="G469">
        <v>13</v>
      </c>
      <c r="H469">
        <v>0.1</v>
      </c>
      <c r="I469" t="str">
        <f>VLOOKUP(C469,Table1[#All],3,FALSE)</f>
        <v>Europe</v>
      </c>
      <c r="J469" t="str">
        <f>VLOOKUP(C469,Table1[#All],4,FALSE)</f>
        <v>Corporate</v>
      </c>
      <c r="K469" t="str">
        <f>TEXT(Table13[[#This Row],[Order_Date]],"mmm-yyyy")</f>
        <v>Oct-2023</v>
      </c>
    </row>
    <row r="470" spans="1:11" x14ac:dyDescent="0.3">
      <c r="A470" t="s">
        <v>1029</v>
      </c>
      <c r="B470" s="1">
        <v>45279</v>
      </c>
      <c r="C470" t="s">
        <v>934</v>
      </c>
      <c r="D470" t="s">
        <v>995</v>
      </c>
      <c r="E470">
        <v>2434.14</v>
      </c>
      <c r="F470">
        <v>18</v>
      </c>
      <c r="G470">
        <v>-25</v>
      </c>
      <c r="H470">
        <v>0</v>
      </c>
      <c r="I470" t="str">
        <f>VLOOKUP(C470,Table1[#All],3,FALSE)</f>
        <v>Africa</v>
      </c>
      <c r="J470" t="str">
        <f>VLOOKUP(C470,Table1[#All],4,FALSE)</f>
        <v>Consumer</v>
      </c>
      <c r="K470" t="str">
        <f>TEXT(Table13[[#This Row],[Order_Date]],"mmm-yyyy")</f>
        <v>Dec-2023</v>
      </c>
    </row>
    <row r="471" spans="1:11" x14ac:dyDescent="0.3">
      <c r="A471" t="s">
        <v>1028</v>
      </c>
      <c r="B471" s="1">
        <v>45257</v>
      </c>
      <c r="C471" t="s">
        <v>936</v>
      </c>
      <c r="D471" t="s">
        <v>995</v>
      </c>
      <c r="E471">
        <v>6771.6</v>
      </c>
      <c r="F471">
        <v>20</v>
      </c>
      <c r="G471">
        <v>47</v>
      </c>
      <c r="H471">
        <v>0.05</v>
      </c>
      <c r="I471" t="str">
        <f>VLOOKUP(C471,Table1[#All],3,FALSE)</f>
        <v>South America</v>
      </c>
      <c r="J471" t="str">
        <f>VLOOKUP(C471,Table1[#All],4,FALSE)</f>
        <v>Home Office</v>
      </c>
      <c r="K471" t="str">
        <f>TEXT(Table13[[#This Row],[Order_Date]],"mmm-yyyy")</f>
        <v>Nov-2023</v>
      </c>
    </row>
    <row r="472" spans="1:11" x14ac:dyDescent="0.3">
      <c r="A472" t="s">
        <v>1027</v>
      </c>
      <c r="B472" s="1">
        <v>45153</v>
      </c>
      <c r="C472" t="s">
        <v>938</v>
      </c>
      <c r="D472" t="s">
        <v>995</v>
      </c>
      <c r="E472">
        <v>839.952</v>
      </c>
      <c r="F472">
        <v>3</v>
      </c>
      <c r="G472">
        <v>-15</v>
      </c>
      <c r="H472">
        <v>0.05</v>
      </c>
      <c r="I472" t="str">
        <f>VLOOKUP(C472,Table1[#All],3,FALSE)</f>
        <v>Asia</v>
      </c>
      <c r="J472" t="str">
        <f>VLOOKUP(C472,Table1[#All],4,FALSE)</f>
        <v>Consumer</v>
      </c>
      <c r="K472" t="str">
        <f>TEXT(Table13[[#This Row],[Order_Date]],"mmm-yyyy")</f>
        <v>Aug-2023</v>
      </c>
    </row>
    <row r="473" spans="1:11" x14ac:dyDescent="0.3">
      <c r="A473" t="s">
        <v>1026</v>
      </c>
      <c r="B473" s="1">
        <v>44942</v>
      </c>
      <c r="C473" t="s">
        <v>940</v>
      </c>
      <c r="D473" t="s">
        <v>995</v>
      </c>
      <c r="E473">
        <v>11077</v>
      </c>
      <c r="F473">
        <v>20</v>
      </c>
      <c r="G473">
        <v>11</v>
      </c>
      <c r="H473">
        <v>0</v>
      </c>
      <c r="I473" t="str">
        <f>VLOOKUP(C473,Table1[#All],3,FALSE)</f>
        <v>Europe</v>
      </c>
      <c r="J473" t="str">
        <f>VLOOKUP(C473,Table1[#All],4,FALSE)</f>
        <v>Home Office</v>
      </c>
      <c r="K473" t="str">
        <f>TEXT(Table13[[#This Row],[Order_Date]],"mmm-yyyy")</f>
        <v>Jan-2023</v>
      </c>
    </row>
    <row r="474" spans="1:11" x14ac:dyDescent="0.3">
      <c r="A474" t="s">
        <v>1025</v>
      </c>
      <c r="B474" s="1">
        <v>45716</v>
      </c>
      <c r="C474" t="s">
        <v>942</v>
      </c>
      <c r="D474" t="s">
        <v>1000</v>
      </c>
      <c r="E474">
        <v>949.68899999999996</v>
      </c>
      <c r="F474">
        <v>13</v>
      </c>
      <c r="G474">
        <v>-26</v>
      </c>
      <c r="H474">
        <v>0.1</v>
      </c>
      <c r="I474" t="str">
        <f>VLOOKUP(C474,Table1[#All],3,FALSE)</f>
        <v>Africa</v>
      </c>
      <c r="J474" t="str">
        <f>VLOOKUP(C474,Table1[#All],4,FALSE)</f>
        <v>Home Office</v>
      </c>
      <c r="K474" t="str">
        <f>TEXT(Table13[[#This Row],[Order_Date]],"mmm-yyyy")</f>
        <v>Feb-2025</v>
      </c>
    </row>
    <row r="475" spans="1:11" x14ac:dyDescent="0.3">
      <c r="A475" t="s">
        <v>1024</v>
      </c>
      <c r="B475" s="1">
        <v>45258</v>
      </c>
      <c r="C475" t="s">
        <v>944</v>
      </c>
      <c r="D475" t="s">
        <v>995</v>
      </c>
      <c r="E475">
        <v>1065.02</v>
      </c>
      <c r="F475">
        <v>2</v>
      </c>
      <c r="G475">
        <v>8</v>
      </c>
      <c r="H475">
        <v>0</v>
      </c>
      <c r="I475" t="str">
        <f>VLOOKUP(C475,Table1[#All],3,FALSE)</f>
        <v>Europe</v>
      </c>
      <c r="J475" t="str">
        <f>VLOOKUP(C475,Table1[#All],4,FALSE)</f>
        <v>Home Office</v>
      </c>
      <c r="K475" t="str">
        <f>TEXT(Table13[[#This Row],[Order_Date]],"mmm-yyyy")</f>
        <v>Nov-2023</v>
      </c>
    </row>
    <row r="476" spans="1:11" x14ac:dyDescent="0.3">
      <c r="A476" t="s">
        <v>1023</v>
      </c>
      <c r="B476" s="1">
        <v>45028</v>
      </c>
      <c r="C476" t="s">
        <v>946</v>
      </c>
      <c r="D476" t="s">
        <v>995</v>
      </c>
      <c r="E476">
        <v>241.37100000000001</v>
      </c>
      <c r="F476">
        <v>1</v>
      </c>
      <c r="G476">
        <v>9</v>
      </c>
      <c r="H476">
        <v>0.1</v>
      </c>
      <c r="I476" t="str">
        <f>VLOOKUP(C476,Table1[#All],3,FALSE)</f>
        <v>Europe</v>
      </c>
      <c r="J476" t="str">
        <f>VLOOKUP(C476,Table1[#All],4,FALSE)</f>
        <v>Corporate</v>
      </c>
      <c r="K476" t="str">
        <f>TEXT(Table13[[#This Row],[Order_Date]],"mmm-yyyy")</f>
        <v>Apr-2023</v>
      </c>
    </row>
    <row r="477" spans="1:11" x14ac:dyDescent="0.3">
      <c r="A477" t="s">
        <v>1022</v>
      </c>
      <c r="B477" s="1">
        <v>45464</v>
      </c>
      <c r="C477" t="s">
        <v>948</v>
      </c>
      <c r="D477" t="s">
        <v>1000</v>
      </c>
      <c r="E477">
        <v>6251.7924999999996</v>
      </c>
      <c r="F477">
        <v>17</v>
      </c>
      <c r="G477">
        <v>-70</v>
      </c>
      <c r="H477">
        <v>0.15</v>
      </c>
      <c r="I477" t="str">
        <f>VLOOKUP(C477,Table1[#All],3,FALSE)</f>
        <v>South America</v>
      </c>
      <c r="J477" t="str">
        <f>VLOOKUP(C477,Table1[#All],4,FALSE)</f>
        <v>Consumer</v>
      </c>
      <c r="K477" t="str">
        <f>TEXT(Table13[[#This Row],[Order_Date]],"mmm-yyyy")</f>
        <v>Jun-2024</v>
      </c>
    </row>
    <row r="478" spans="1:11" x14ac:dyDescent="0.3">
      <c r="A478" t="s">
        <v>1021</v>
      </c>
      <c r="B478" s="1">
        <v>45733</v>
      </c>
      <c r="C478" t="s">
        <v>950</v>
      </c>
      <c r="D478" t="s">
        <v>1000</v>
      </c>
      <c r="E478">
        <v>1550.3040000000001</v>
      </c>
      <c r="F478">
        <v>14</v>
      </c>
      <c r="G478">
        <v>61</v>
      </c>
      <c r="H478">
        <v>0.1</v>
      </c>
      <c r="I478" t="str">
        <f>VLOOKUP(C478,Table1[#All],3,FALSE)</f>
        <v>Asia</v>
      </c>
      <c r="J478" t="str">
        <f>VLOOKUP(C478,Table1[#All],4,FALSE)</f>
        <v>Corporate</v>
      </c>
      <c r="K478" t="str">
        <f>TEXT(Table13[[#This Row],[Order_Date]],"mmm-yyyy")</f>
        <v>Mar-2025</v>
      </c>
    </row>
    <row r="479" spans="1:11" x14ac:dyDescent="0.3">
      <c r="A479" t="s">
        <v>1020</v>
      </c>
      <c r="B479" s="1">
        <v>45155</v>
      </c>
      <c r="C479" t="s">
        <v>952</v>
      </c>
      <c r="D479" t="s">
        <v>995</v>
      </c>
      <c r="E479">
        <v>6545.3760000000002</v>
      </c>
      <c r="F479">
        <v>16</v>
      </c>
      <c r="G479">
        <v>-25</v>
      </c>
      <c r="H479">
        <v>0.1</v>
      </c>
      <c r="I479" t="str">
        <f>VLOOKUP(C479,Table1[#All],3,FALSE)</f>
        <v>Africa</v>
      </c>
      <c r="J479" t="str">
        <f>VLOOKUP(C479,Table1[#All],4,FALSE)</f>
        <v>Corporate</v>
      </c>
      <c r="K479" t="str">
        <f>TEXT(Table13[[#This Row],[Order_Date]],"mmm-yyyy")</f>
        <v>Aug-2023</v>
      </c>
    </row>
    <row r="480" spans="1:11" x14ac:dyDescent="0.3">
      <c r="A480" t="s">
        <v>1019</v>
      </c>
      <c r="B480" s="1">
        <v>45168</v>
      </c>
      <c r="C480" t="s">
        <v>314</v>
      </c>
      <c r="D480" t="s">
        <v>1000</v>
      </c>
      <c r="E480">
        <v>4332.3609999999999</v>
      </c>
      <c r="F480">
        <v>11</v>
      </c>
      <c r="G480">
        <v>-28</v>
      </c>
      <c r="H480">
        <v>0.05</v>
      </c>
      <c r="I480" t="str">
        <f>VLOOKUP(C480,Table1[#All],3,FALSE)</f>
        <v>North America</v>
      </c>
      <c r="J480" t="str">
        <f>VLOOKUP(C480,Table1[#All],4,FALSE)</f>
        <v>Home Office</v>
      </c>
      <c r="K480" t="str">
        <f>TEXT(Table13[[#This Row],[Order_Date]],"mmm-yyyy")</f>
        <v>Aug-2023</v>
      </c>
    </row>
    <row r="481" spans="1:11" x14ac:dyDescent="0.3">
      <c r="A481" t="s">
        <v>1018</v>
      </c>
      <c r="B481" s="1">
        <v>45824</v>
      </c>
      <c r="C481" t="s">
        <v>955</v>
      </c>
      <c r="D481" t="s">
        <v>1000</v>
      </c>
      <c r="E481">
        <v>2858.5709999999999</v>
      </c>
      <c r="F481">
        <v>9</v>
      </c>
      <c r="G481">
        <v>-13</v>
      </c>
      <c r="H481">
        <v>0.1</v>
      </c>
      <c r="I481" t="str">
        <f>VLOOKUP(C481,Table1[#All],3,FALSE)</f>
        <v>Asia</v>
      </c>
      <c r="J481" t="str">
        <f>VLOOKUP(C481,Table1[#All],4,FALSE)</f>
        <v>Corporate</v>
      </c>
      <c r="K481" t="str">
        <f>TEXT(Table13[[#This Row],[Order_Date]],"mmm-yyyy")</f>
        <v>Jun-2025</v>
      </c>
    </row>
    <row r="482" spans="1:11" x14ac:dyDescent="0.3">
      <c r="A482" t="s">
        <v>1017</v>
      </c>
      <c r="B482" s="1">
        <v>45106</v>
      </c>
      <c r="C482" t="s">
        <v>957</v>
      </c>
      <c r="D482" t="s">
        <v>995</v>
      </c>
      <c r="E482">
        <v>1138.1400000000001</v>
      </c>
      <c r="F482">
        <v>10</v>
      </c>
      <c r="G482">
        <v>-62</v>
      </c>
      <c r="H482">
        <v>0.1</v>
      </c>
      <c r="I482" t="str">
        <f>VLOOKUP(C482,Table1[#All],3,FALSE)</f>
        <v>North America</v>
      </c>
      <c r="J482" t="str">
        <f>VLOOKUP(C482,Table1[#All],4,FALSE)</f>
        <v>Corporate</v>
      </c>
      <c r="K482" t="str">
        <f>TEXT(Table13[[#This Row],[Order_Date]],"mmm-yyyy")</f>
        <v>Jun-2023</v>
      </c>
    </row>
    <row r="483" spans="1:11" x14ac:dyDescent="0.3">
      <c r="A483" t="s">
        <v>1016</v>
      </c>
      <c r="B483" s="1">
        <v>45151</v>
      </c>
      <c r="C483" t="s">
        <v>959</v>
      </c>
      <c r="D483" t="s">
        <v>997</v>
      </c>
      <c r="E483">
        <v>875.14</v>
      </c>
      <c r="F483">
        <v>7</v>
      </c>
      <c r="G483">
        <v>37</v>
      </c>
      <c r="H483">
        <v>0</v>
      </c>
      <c r="I483" t="str">
        <f>VLOOKUP(C483,Table1[#All],3,FALSE)</f>
        <v>North America</v>
      </c>
      <c r="J483" t="str">
        <f>VLOOKUP(C483,Table1[#All],4,FALSE)</f>
        <v>Home Office</v>
      </c>
      <c r="K483" t="str">
        <f>TEXT(Table13[[#This Row],[Order_Date]],"mmm-yyyy")</f>
        <v>Aug-2023</v>
      </c>
    </row>
    <row r="484" spans="1:11" x14ac:dyDescent="0.3">
      <c r="A484" t="s">
        <v>1015</v>
      </c>
      <c r="B484" s="1">
        <v>45411</v>
      </c>
      <c r="C484" t="s">
        <v>961</v>
      </c>
      <c r="D484" t="s">
        <v>995</v>
      </c>
      <c r="E484">
        <v>6977.56</v>
      </c>
      <c r="F484">
        <v>20</v>
      </c>
      <c r="G484">
        <v>11</v>
      </c>
      <c r="H484">
        <v>0.05</v>
      </c>
      <c r="I484" t="str">
        <f>VLOOKUP(C484,Table1[#All],3,FALSE)</f>
        <v>Europe</v>
      </c>
      <c r="J484" t="str">
        <f>VLOOKUP(C484,Table1[#All],4,FALSE)</f>
        <v>Home Office</v>
      </c>
      <c r="K484" t="str">
        <f>TEXT(Table13[[#This Row],[Order_Date]],"mmm-yyyy")</f>
        <v>Apr-2024</v>
      </c>
    </row>
    <row r="485" spans="1:11" x14ac:dyDescent="0.3">
      <c r="A485" t="s">
        <v>1014</v>
      </c>
      <c r="B485" s="1">
        <v>45122</v>
      </c>
      <c r="C485" t="s">
        <v>963</v>
      </c>
      <c r="D485" t="s">
        <v>995</v>
      </c>
      <c r="E485">
        <v>3456.96</v>
      </c>
      <c r="F485">
        <v>8</v>
      </c>
      <c r="G485">
        <v>20</v>
      </c>
      <c r="H485">
        <v>0</v>
      </c>
      <c r="I485" t="str">
        <f>VLOOKUP(C485,Table1[#All],3,FALSE)</f>
        <v>Europe</v>
      </c>
      <c r="J485" t="str">
        <f>VLOOKUP(C485,Table1[#All],4,FALSE)</f>
        <v>Corporate</v>
      </c>
      <c r="K485" t="str">
        <f>TEXT(Table13[[#This Row],[Order_Date]],"mmm-yyyy")</f>
        <v>Jul-2023</v>
      </c>
    </row>
    <row r="486" spans="1:11" x14ac:dyDescent="0.3">
      <c r="A486" t="s">
        <v>1013</v>
      </c>
      <c r="B486" s="1">
        <v>45674</v>
      </c>
      <c r="C486" t="s">
        <v>965</v>
      </c>
      <c r="D486" t="s">
        <v>997</v>
      </c>
      <c r="E486">
        <v>35.991</v>
      </c>
      <c r="F486">
        <v>3</v>
      </c>
      <c r="G486">
        <v>99</v>
      </c>
      <c r="H486">
        <v>0.1</v>
      </c>
      <c r="I486" t="str">
        <f>VLOOKUP(C486,Table1[#All],3,FALSE)</f>
        <v>North America</v>
      </c>
      <c r="J486" t="str">
        <f>VLOOKUP(C486,Table1[#All],4,FALSE)</f>
        <v>Corporate</v>
      </c>
      <c r="K486" t="str">
        <f>TEXT(Table13[[#This Row],[Order_Date]],"mmm-yyyy")</f>
        <v>Jan-2025</v>
      </c>
    </row>
    <row r="487" spans="1:11" x14ac:dyDescent="0.3">
      <c r="A487" t="s">
        <v>1012</v>
      </c>
      <c r="B487" s="1">
        <v>45709</v>
      </c>
      <c r="C487" t="s">
        <v>967</v>
      </c>
      <c r="D487" t="s">
        <v>995</v>
      </c>
      <c r="E487">
        <v>1377.09</v>
      </c>
      <c r="F487">
        <v>13</v>
      </c>
      <c r="G487">
        <v>8</v>
      </c>
      <c r="H487">
        <v>0</v>
      </c>
      <c r="I487" t="str">
        <f>VLOOKUP(C487,Table1[#All],3,FALSE)</f>
        <v>Asia</v>
      </c>
      <c r="J487" t="str">
        <f>VLOOKUP(C487,Table1[#All],4,FALSE)</f>
        <v>Home Office</v>
      </c>
      <c r="K487" t="str">
        <f>TEXT(Table13[[#This Row],[Order_Date]],"mmm-yyyy")</f>
        <v>Feb-2025</v>
      </c>
    </row>
    <row r="488" spans="1:11" x14ac:dyDescent="0.3">
      <c r="A488" t="s">
        <v>1011</v>
      </c>
      <c r="B488" s="1">
        <v>45126</v>
      </c>
      <c r="C488" t="s">
        <v>969</v>
      </c>
      <c r="D488" t="s">
        <v>995</v>
      </c>
      <c r="E488">
        <v>10531</v>
      </c>
      <c r="F488">
        <v>20</v>
      </c>
      <c r="G488">
        <v>77</v>
      </c>
      <c r="H488">
        <v>0</v>
      </c>
      <c r="I488" t="str">
        <f>VLOOKUP(C488,Table1[#All],3,FALSE)</f>
        <v>Europe</v>
      </c>
      <c r="J488" t="str">
        <f>VLOOKUP(C488,Table1[#All],4,FALSE)</f>
        <v>Home Office</v>
      </c>
      <c r="K488" t="str">
        <f>TEXT(Table13[[#This Row],[Order_Date]],"mmm-yyyy")</f>
        <v>Jul-2023</v>
      </c>
    </row>
    <row r="489" spans="1:11" x14ac:dyDescent="0.3">
      <c r="A489" t="s">
        <v>1010</v>
      </c>
      <c r="B489" s="1">
        <v>45564</v>
      </c>
      <c r="C489" t="s">
        <v>971</v>
      </c>
      <c r="D489" t="s">
        <v>995</v>
      </c>
      <c r="E489">
        <v>3550.701</v>
      </c>
      <c r="F489">
        <v>11</v>
      </c>
      <c r="G489">
        <v>4</v>
      </c>
      <c r="H489">
        <v>0.05</v>
      </c>
      <c r="I489" t="str">
        <f>VLOOKUP(C489,Table1[#All],3,FALSE)</f>
        <v>Europe</v>
      </c>
      <c r="J489" t="str">
        <f>VLOOKUP(C489,Table1[#All],4,FALSE)</f>
        <v>Home Office</v>
      </c>
      <c r="K489" t="str">
        <f>TEXT(Table13[[#This Row],[Order_Date]],"mmm-yyyy")</f>
        <v>Sep-2024</v>
      </c>
    </row>
    <row r="490" spans="1:11" x14ac:dyDescent="0.3">
      <c r="A490" t="s">
        <v>1009</v>
      </c>
      <c r="B490" s="1">
        <v>45582</v>
      </c>
      <c r="C490" t="s">
        <v>973</v>
      </c>
      <c r="D490" t="s">
        <v>997</v>
      </c>
      <c r="E490">
        <v>779.875</v>
      </c>
      <c r="F490">
        <v>10</v>
      </c>
      <c r="G490">
        <v>-70</v>
      </c>
      <c r="H490">
        <v>0.15</v>
      </c>
      <c r="I490" t="str">
        <f>VLOOKUP(C490,Table1[#All],3,FALSE)</f>
        <v>Asia</v>
      </c>
      <c r="J490" t="str">
        <f>VLOOKUP(C490,Table1[#All],4,FALSE)</f>
        <v>Home Office</v>
      </c>
      <c r="K490" t="str">
        <f>TEXT(Table13[[#This Row],[Order_Date]],"mmm-yyyy")</f>
        <v>Oct-2024</v>
      </c>
    </row>
    <row r="491" spans="1:11" x14ac:dyDescent="0.3">
      <c r="A491" t="s">
        <v>1008</v>
      </c>
      <c r="B491" s="1">
        <v>45967</v>
      </c>
      <c r="C491" t="s">
        <v>975</v>
      </c>
      <c r="D491" t="s">
        <v>1000</v>
      </c>
      <c r="E491">
        <v>184.41</v>
      </c>
      <c r="F491">
        <v>15</v>
      </c>
      <c r="G491">
        <v>69</v>
      </c>
      <c r="H491">
        <v>0.1</v>
      </c>
      <c r="I491" t="str">
        <f>VLOOKUP(C491,Table1[#All],3,FALSE)</f>
        <v>Asia</v>
      </c>
      <c r="J491" t="str">
        <f>VLOOKUP(C491,Table1[#All],4,FALSE)</f>
        <v>Home Office</v>
      </c>
      <c r="K491" t="str">
        <f>TEXT(Table13[[#This Row],[Order_Date]],"mmm-yyyy")</f>
        <v>Nov-2025</v>
      </c>
    </row>
    <row r="492" spans="1:11" x14ac:dyDescent="0.3">
      <c r="A492" t="s">
        <v>1007</v>
      </c>
      <c r="B492" s="1">
        <v>45310</v>
      </c>
      <c r="C492" t="s">
        <v>977</v>
      </c>
      <c r="D492" t="s">
        <v>997</v>
      </c>
      <c r="E492">
        <v>800.44200000000001</v>
      </c>
      <c r="F492">
        <v>6</v>
      </c>
      <c r="G492">
        <v>2</v>
      </c>
      <c r="H492">
        <v>0.1</v>
      </c>
      <c r="I492" t="str">
        <f>VLOOKUP(C492,Table1[#All],3,FALSE)</f>
        <v>Europe</v>
      </c>
      <c r="J492" t="str">
        <f>VLOOKUP(C492,Table1[#All],4,FALSE)</f>
        <v>Home Office</v>
      </c>
      <c r="K492" t="str">
        <f>TEXT(Table13[[#This Row],[Order_Date]],"mmm-yyyy")</f>
        <v>Jan-2024</v>
      </c>
    </row>
    <row r="493" spans="1:11" x14ac:dyDescent="0.3">
      <c r="A493" t="s">
        <v>1006</v>
      </c>
      <c r="B493" s="1">
        <v>44997</v>
      </c>
      <c r="C493" t="s">
        <v>979</v>
      </c>
      <c r="D493" t="s">
        <v>995</v>
      </c>
      <c r="E493">
        <v>4628.5304999999998</v>
      </c>
      <c r="F493">
        <v>11</v>
      </c>
      <c r="G493">
        <v>-25</v>
      </c>
      <c r="H493">
        <v>0.15</v>
      </c>
      <c r="I493" t="str">
        <f>VLOOKUP(C493,Table1[#All],3,FALSE)</f>
        <v>Asia</v>
      </c>
      <c r="J493" t="str">
        <f>VLOOKUP(C493,Table1[#All],4,FALSE)</f>
        <v>Home Office</v>
      </c>
      <c r="K493" t="str">
        <f>TEXT(Table13[[#This Row],[Order_Date]],"mmm-yyyy")</f>
        <v>Mar-2023</v>
      </c>
    </row>
    <row r="494" spans="1:11" x14ac:dyDescent="0.3">
      <c r="A494" t="s">
        <v>1005</v>
      </c>
      <c r="B494" s="1">
        <v>45462</v>
      </c>
      <c r="C494" t="s">
        <v>917</v>
      </c>
      <c r="D494" t="s">
        <v>995</v>
      </c>
      <c r="E494">
        <v>1409.04</v>
      </c>
      <c r="F494">
        <v>6</v>
      </c>
      <c r="G494">
        <v>32</v>
      </c>
      <c r="H494">
        <v>0.05</v>
      </c>
      <c r="I494" t="str">
        <f>VLOOKUP(C494,Table1[#All],3,FALSE)</f>
        <v>North America</v>
      </c>
      <c r="J494" t="str">
        <f>VLOOKUP(C494,Table1[#All],4,FALSE)</f>
        <v>Home Office</v>
      </c>
      <c r="K494" t="str">
        <f>TEXT(Table13[[#This Row],[Order_Date]],"mmm-yyyy")</f>
        <v>Jun-2024</v>
      </c>
    </row>
    <row r="495" spans="1:11" x14ac:dyDescent="0.3">
      <c r="A495" t="s">
        <v>1004</v>
      </c>
      <c r="B495" s="1">
        <v>45581</v>
      </c>
      <c r="C495" t="s">
        <v>982</v>
      </c>
      <c r="D495" t="s">
        <v>995</v>
      </c>
      <c r="E495">
        <v>3744.4724999999999</v>
      </c>
      <c r="F495">
        <v>19</v>
      </c>
      <c r="G495">
        <v>10</v>
      </c>
      <c r="H495">
        <v>0.05</v>
      </c>
      <c r="I495" t="str">
        <f>VLOOKUP(C495,Table1[#All],3,FALSE)</f>
        <v>Europe</v>
      </c>
      <c r="J495" t="str">
        <f>VLOOKUP(C495,Table1[#All],4,FALSE)</f>
        <v>Consumer</v>
      </c>
      <c r="K495" t="str">
        <f>TEXT(Table13[[#This Row],[Order_Date]],"mmm-yyyy")</f>
        <v>Oct-2024</v>
      </c>
    </row>
    <row r="496" spans="1:11" x14ac:dyDescent="0.3">
      <c r="A496" t="s">
        <v>1003</v>
      </c>
      <c r="B496" s="1">
        <v>45680</v>
      </c>
      <c r="C496" t="s">
        <v>984</v>
      </c>
      <c r="D496" t="s">
        <v>995</v>
      </c>
      <c r="E496">
        <v>630.32600000000002</v>
      </c>
      <c r="F496">
        <v>2</v>
      </c>
      <c r="G496">
        <v>17</v>
      </c>
      <c r="H496">
        <v>0.15</v>
      </c>
      <c r="I496" t="str">
        <f>VLOOKUP(C496,Table1[#All],3,FALSE)</f>
        <v>Asia</v>
      </c>
      <c r="J496" t="str">
        <f>VLOOKUP(C496,Table1[#All],4,FALSE)</f>
        <v>Corporate</v>
      </c>
      <c r="K496" t="str">
        <f>TEXT(Table13[[#This Row],[Order_Date]],"mmm-yyyy")</f>
        <v>Jan-2025</v>
      </c>
    </row>
    <row r="497" spans="1:11" x14ac:dyDescent="0.3">
      <c r="A497" t="s">
        <v>1002</v>
      </c>
      <c r="B497" s="1">
        <v>44967</v>
      </c>
      <c r="C497" t="s">
        <v>986</v>
      </c>
      <c r="D497" t="s">
        <v>995</v>
      </c>
      <c r="E497">
        <v>1188.432</v>
      </c>
      <c r="F497">
        <v>9</v>
      </c>
      <c r="G497">
        <v>-46</v>
      </c>
      <c r="H497">
        <v>0.1</v>
      </c>
      <c r="I497" t="str">
        <f>VLOOKUP(C497,Table1[#All],3,FALSE)</f>
        <v>Africa</v>
      </c>
      <c r="J497" t="str">
        <f>VLOOKUP(C497,Table1[#All],4,FALSE)</f>
        <v>Consumer</v>
      </c>
      <c r="K497" t="str">
        <f>TEXT(Table13[[#This Row],[Order_Date]],"mmm-yyyy")</f>
        <v>Feb-2023</v>
      </c>
    </row>
    <row r="498" spans="1:11" x14ac:dyDescent="0.3">
      <c r="A498" t="s">
        <v>1001</v>
      </c>
      <c r="B498" s="1">
        <v>45057</v>
      </c>
      <c r="C498" t="s">
        <v>988</v>
      </c>
      <c r="D498" t="s">
        <v>1000</v>
      </c>
      <c r="E498">
        <v>1726.38</v>
      </c>
      <c r="F498">
        <v>12</v>
      </c>
      <c r="G498">
        <v>-51</v>
      </c>
      <c r="H498">
        <v>0.1</v>
      </c>
      <c r="I498" t="str">
        <f>VLOOKUP(C498,Table1[#All],3,FALSE)</f>
        <v>Asia</v>
      </c>
      <c r="J498" t="str">
        <f>VLOOKUP(C498,Table1[#All],4,FALSE)</f>
        <v>Home Office</v>
      </c>
      <c r="K498" t="str">
        <f>TEXT(Table13[[#This Row],[Order_Date]],"mmm-yyyy")</f>
        <v>May-2023</v>
      </c>
    </row>
    <row r="499" spans="1:11" x14ac:dyDescent="0.3">
      <c r="A499" t="s">
        <v>999</v>
      </c>
      <c r="B499" s="1">
        <v>45095</v>
      </c>
      <c r="C499" t="s">
        <v>990</v>
      </c>
      <c r="D499" t="s">
        <v>995</v>
      </c>
      <c r="E499">
        <v>2243.748</v>
      </c>
      <c r="F499">
        <v>13</v>
      </c>
      <c r="G499">
        <v>30</v>
      </c>
      <c r="H499">
        <v>0.05</v>
      </c>
      <c r="I499" t="str">
        <f>VLOOKUP(C499,Table1[#All],3,FALSE)</f>
        <v>South America</v>
      </c>
      <c r="J499" t="str">
        <f>VLOOKUP(C499,Table1[#All],4,FALSE)</f>
        <v>Home Office</v>
      </c>
      <c r="K499" t="str">
        <f>TEXT(Table13[[#This Row],[Order_Date]],"mmm-yyyy")</f>
        <v>Jun-2023</v>
      </c>
    </row>
    <row r="500" spans="1:11" x14ac:dyDescent="0.3">
      <c r="A500" t="s">
        <v>998</v>
      </c>
      <c r="B500" s="1">
        <v>45488</v>
      </c>
      <c r="C500" t="s">
        <v>992</v>
      </c>
      <c r="D500" t="s">
        <v>997</v>
      </c>
      <c r="E500">
        <v>464.57600000000002</v>
      </c>
      <c r="F500">
        <v>16</v>
      </c>
      <c r="G500">
        <v>-59</v>
      </c>
      <c r="H500">
        <v>0.15</v>
      </c>
      <c r="I500" t="str">
        <f>VLOOKUP(C500,Table1[#All],3,FALSE)</f>
        <v>Africa</v>
      </c>
      <c r="J500" t="str">
        <f>VLOOKUP(C500,Table1[#All],4,FALSE)</f>
        <v>Consumer</v>
      </c>
      <c r="K500" t="str">
        <f>TEXT(Table13[[#This Row],[Order_Date]],"mmm-yyyy")</f>
        <v>Jul-2024</v>
      </c>
    </row>
    <row r="501" spans="1:11" x14ac:dyDescent="0.3">
      <c r="A501" t="s">
        <v>996</v>
      </c>
      <c r="B501" s="1">
        <v>45457</v>
      </c>
      <c r="C501" t="s">
        <v>460</v>
      </c>
      <c r="D501" t="s">
        <v>995</v>
      </c>
      <c r="E501">
        <v>517.37400000000002</v>
      </c>
      <c r="F501">
        <v>2</v>
      </c>
      <c r="G501">
        <v>17</v>
      </c>
      <c r="H501">
        <v>0.1</v>
      </c>
      <c r="I501" t="str">
        <f>VLOOKUP(C501,Table1[#All],3,FALSE)</f>
        <v>Asia</v>
      </c>
      <c r="J501" t="str">
        <f>VLOOKUP(C501,Table1[#All],4,FALSE)</f>
        <v>Consumer</v>
      </c>
      <c r="K501" t="str">
        <f>TEXT(Table13[[#This Row],[Order_Date]],"mmm-yyyy")</f>
        <v>Jun-2024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7137-202E-42D5-ADDE-755EC38509F1}">
  <dimension ref="A1:E501"/>
  <sheetViews>
    <sheetView topLeftCell="A474" workbookViewId="0">
      <selection activeCell="F9" sqref="F9"/>
    </sheetView>
  </sheetViews>
  <sheetFormatPr defaultRowHeight="14.4" x14ac:dyDescent="0.3"/>
  <cols>
    <col min="1" max="1" width="11.77734375" bestFit="1" customWidth="1"/>
    <col min="2" max="2" width="21.21875" customWidth="1"/>
    <col min="3" max="3" width="22.109375" customWidth="1"/>
    <col min="4" max="4" width="14.88671875" customWidth="1"/>
    <col min="5" max="5" width="10.5546875" customWidth="1"/>
  </cols>
  <sheetData>
    <row r="1" spans="1:5" ht="15.6" x14ac:dyDescent="0.3">
      <c r="A1" s="5" t="s">
        <v>1505</v>
      </c>
      <c r="B1" t="s">
        <v>1508</v>
      </c>
      <c r="C1" t="s">
        <v>1509</v>
      </c>
      <c r="D1" t="s">
        <v>1510</v>
      </c>
      <c r="E1" t="s">
        <v>1511</v>
      </c>
    </row>
    <row r="2" spans="1:5" x14ac:dyDescent="0.3">
      <c r="A2" t="str">
        <f>TEXT(Table13[[#This Row],[Order_Date]],"mmm-yyyy")</f>
        <v>Feb-2023</v>
      </c>
      <c r="B2" s="6">
        <f>SUMIF(Orders!K:K,A2,Orders!E:E)</f>
        <v>31599.2045</v>
      </c>
      <c r="D2" s="6">
        <f>B2-C2</f>
        <v>31599.2045</v>
      </c>
      <c r="E2">
        <f>IF(C2=0,0,(D2/C2)*100)</f>
        <v>0</v>
      </c>
    </row>
    <row r="3" spans="1:5" x14ac:dyDescent="0.3">
      <c r="A3" t="str">
        <f>TEXT(Table13[[#This Row],[Order_Date]],"mmm-yyyy")</f>
        <v>Dec-2024</v>
      </c>
      <c r="B3" s="6">
        <f>SUMIF(Orders!K:K,A3,Orders!E:E)</f>
        <v>27646.277000000002</v>
      </c>
      <c r="C3" s="6">
        <f>B2</f>
        <v>31599.2045</v>
      </c>
      <c r="D3" s="6">
        <f t="shared" ref="D3:D66" si="0">B3-C3</f>
        <v>-3952.927499999998</v>
      </c>
      <c r="E3" s="6">
        <f t="shared" ref="E3:E66" si="1">IF(C3=0,0,(D3/C3)*100)</f>
        <v>-12.509579157285424</v>
      </c>
    </row>
    <row r="4" spans="1:5" x14ac:dyDescent="0.3">
      <c r="A4" t="str">
        <f>TEXT(Table13[[#This Row],[Order_Date]],"mmm-yyyy")</f>
        <v>Oct-2023</v>
      </c>
      <c r="B4" s="6">
        <f>SUMIF(Orders!K:K,A4,Orders!E:E)</f>
        <v>35673.451500000003</v>
      </c>
      <c r="C4" s="6">
        <f t="shared" ref="C4:C67" si="2">B3</f>
        <v>27646.277000000002</v>
      </c>
      <c r="D4" s="6">
        <f t="shared" si="0"/>
        <v>8027.174500000001</v>
      </c>
      <c r="E4" s="6">
        <f t="shared" si="1"/>
        <v>29.035282038156531</v>
      </c>
    </row>
    <row r="5" spans="1:5" x14ac:dyDescent="0.3">
      <c r="A5" t="str">
        <f>TEXT(Table13[[#This Row],[Order_Date]],"mmm-yyyy")</f>
        <v>Feb-2025</v>
      </c>
      <c r="B5" s="6">
        <f>SUMIF(Orders!K:K,A5,Orders!E:E)</f>
        <v>43736.824500000002</v>
      </c>
      <c r="C5" s="6">
        <f t="shared" si="2"/>
        <v>35673.451500000003</v>
      </c>
      <c r="D5" s="6">
        <f t="shared" si="0"/>
        <v>8063.3729999999996</v>
      </c>
      <c r="E5" s="6">
        <f t="shared" si="1"/>
        <v>22.60328805021852</v>
      </c>
    </row>
    <row r="6" spans="1:5" x14ac:dyDescent="0.3">
      <c r="A6" t="str">
        <f>TEXT(Table13[[#This Row],[Order_Date]],"mmm-yyyy")</f>
        <v>Jun-2023</v>
      </c>
      <c r="B6" s="6">
        <f>SUMIF(Orders!K:K,A6,Orders!E:E)</f>
        <v>62271.799000000006</v>
      </c>
      <c r="C6" s="6">
        <f t="shared" si="2"/>
        <v>43736.824500000002</v>
      </c>
      <c r="D6" s="6">
        <f t="shared" si="0"/>
        <v>18534.974500000004</v>
      </c>
      <c r="E6" s="6">
        <f t="shared" si="1"/>
        <v>42.378418442335708</v>
      </c>
    </row>
    <row r="7" spans="1:5" x14ac:dyDescent="0.3">
      <c r="A7" t="str">
        <f>TEXT(Table13[[#This Row],[Order_Date]],"mmm-yyyy")</f>
        <v>Feb-2024</v>
      </c>
      <c r="B7" s="6">
        <f>SUMIF(Orders!K:K,A7,Orders!E:E)</f>
        <v>63420.142</v>
      </c>
      <c r="C7" s="6">
        <f t="shared" si="2"/>
        <v>62271.799000000006</v>
      </c>
      <c r="D7" s="6">
        <f t="shared" si="0"/>
        <v>1148.3429999999935</v>
      </c>
      <c r="E7" s="6">
        <f t="shared" si="1"/>
        <v>1.8440819414900691</v>
      </c>
    </row>
    <row r="8" spans="1:5" x14ac:dyDescent="0.3">
      <c r="A8" t="str">
        <f>TEXT(Table13[[#This Row],[Order_Date]],"mmm-yyyy")</f>
        <v>Nov-2023</v>
      </c>
      <c r="B8" s="6">
        <f>SUMIF(Orders!K:K,A8,Orders!E:E)</f>
        <v>87862.09550000001</v>
      </c>
      <c r="C8" s="6">
        <f t="shared" si="2"/>
        <v>63420.142</v>
      </c>
      <c r="D8" s="6">
        <f t="shared" si="0"/>
        <v>24441.953500000011</v>
      </c>
      <c r="E8" s="6">
        <f t="shared" si="1"/>
        <v>38.539733165529668</v>
      </c>
    </row>
    <row r="9" spans="1:5" x14ac:dyDescent="0.3">
      <c r="A9" t="str">
        <f>TEXT(Table13[[#This Row],[Order_Date]],"mmm-yyyy")</f>
        <v>Sep-2023</v>
      </c>
      <c r="B9" s="6">
        <f>SUMIF(Orders!K:K,A9,Orders!E:E)</f>
        <v>54431.520499999999</v>
      </c>
      <c r="C9" s="6">
        <f t="shared" si="2"/>
        <v>87862.09550000001</v>
      </c>
      <c r="D9" s="6">
        <f t="shared" si="0"/>
        <v>-33430.575000000012</v>
      </c>
      <c r="E9" s="6">
        <f t="shared" si="1"/>
        <v>-38.048916099434493</v>
      </c>
    </row>
    <row r="10" spans="1:5" x14ac:dyDescent="0.3">
      <c r="A10" t="str">
        <f>TEXT(Table13[[#This Row],[Order_Date]],"mmm-yyyy")</f>
        <v>Oct-2024</v>
      </c>
      <c r="B10" s="6">
        <f>SUMIF(Orders!K:K,A10,Orders!E:E)</f>
        <v>78501.203500000003</v>
      </c>
      <c r="C10" s="6">
        <f t="shared" si="2"/>
        <v>54431.520499999999</v>
      </c>
      <c r="D10" s="6">
        <f t="shared" si="0"/>
        <v>24069.683000000005</v>
      </c>
      <c r="E10" s="6">
        <f t="shared" si="1"/>
        <v>44.220118745350881</v>
      </c>
    </row>
    <row r="11" spans="1:5" x14ac:dyDescent="0.3">
      <c r="A11" t="str">
        <f>TEXT(Table13[[#This Row],[Order_Date]],"mmm-yyyy")</f>
        <v>May-2025</v>
      </c>
      <c r="B11" s="6">
        <f>SUMIF(Orders!K:K,A11,Orders!E:E)</f>
        <v>66561.381000000008</v>
      </c>
      <c r="C11" s="6">
        <f t="shared" si="2"/>
        <v>78501.203500000003</v>
      </c>
      <c r="D11" s="6">
        <f t="shared" si="0"/>
        <v>-11939.822499999995</v>
      </c>
      <c r="E11" s="6">
        <f t="shared" si="1"/>
        <v>-15.209731784557921</v>
      </c>
    </row>
    <row r="12" spans="1:5" x14ac:dyDescent="0.3">
      <c r="A12" t="str">
        <f>TEXT(Table13[[#This Row],[Order_Date]],"mmm-yyyy")</f>
        <v>Oct-2024</v>
      </c>
      <c r="B12" s="6">
        <f>SUMIF(Orders!K:K,A12,Orders!E:E)</f>
        <v>78501.203500000003</v>
      </c>
      <c r="C12" s="6">
        <f t="shared" si="2"/>
        <v>66561.381000000008</v>
      </c>
      <c r="D12" s="6">
        <f t="shared" si="0"/>
        <v>11939.822499999995</v>
      </c>
      <c r="E12" s="6">
        <f t="shared" si="1"/>
        <v>17.938063063925902</v>
      </c>
    </row>
    <row r="13" spans="1:5" x14ac:dyDescent="0.3">
      <c r="A13" t="str">
        <f>TEXT(Table13[[#This Row],[Order_Date]],"mmm-yyyy")</f>
        <v>Dec-2024</v>
      </c>
      <c r="B13" s="6">
        <f>SUMIF(Orders!K:K,A13,Orders!E:E)</f>
        <v>27646.277000000002</v>
      </c>
      <c r="C13" s="6">
        <f t="shared" si="2"/>
        <v>78501.203500000003</v>
      </c>
      <c r="D13" s="6">
        <f t="shared" si="0"/>
        <v>-50854.926500000001</v>
      </c>
      <c r="E13" s="6">
        <f t="shared" si="1"/>
        <v>-64.782352668007178</v>
      </c>
    </row>
    <row r="14" spans="1:5" x14ac:dyDescent="0.3">
      <c r="A14" t="str">
        <f>TEXT(Table13[[#This Row],[Order_Date]],"mmm-yyyy")</f>
        <v>Jul-2023</v>
      </c>
      <c r="B14" s="6">
        <f>SUMIF(Orders!K:K,A14,Orders!E:E)</f>
        <v>64908.902500000004</v>
      </c>
      <c r="C14" s="6">
        <f t="shared" si="2"/>
        <v>27646.277000000002</v>
      </c>
      <c r="D14" s="6">
        <f t="shared" si="0"/>
        <v>37262.625500000002</v>
      </c>
      <c r="E14" s="6">
        <f t="shared" si="1"/>
        <v>134.78352076122221</v>
      </c>
    </row>
    <row r="15" spans="1:5" x14ac:dyDescent="0.3">
      <c r="A15" t="str">
        <f>TEXT(Table13[[#This Row],[Order_Date]],"mmm-yyyy")</f>
        <v>Jan-2025</v>
      </c>
      <c r="B15" s="6">
        <f>SUMIF(Orders!K:K,A15,Orders!E:E)</f>
        <v>34546.360500000003</v>
      </c>
      <c r="C15" s="6">
        <f t="shared" si="2"/>
        <v>64908.902500000004</v>
      </c>
      <c r="D15" s="6">
        <f t="shared" si="0"/>
        <v>-30362.542000000001</v>
      </c>
      <c r="E15" s="6">
        <f t="shared" si="1"/>
        <v>-46.7771612684408</v>
      </c>
    </row>
    <row r="16" spans="1:5" x14ac:dyDescent="0.3">
      <c r="A16" t="str">
        <f>TEXT(Table13[[#This Row],[Order_Date]],"mmm-yyyy")</f>
        <v>Aug-2024</v>
      </c>
      <c r="B16" s="6">
        <f>SUMIF(Orders!K:K,A16,Orders!E:E)</f>
        <v>57205.100000000006</v>
      </c>
      <c r="C16" s="6">
        <f t="shared" si="2"/>
        <v>34546.360500000003</v>
      </c>
      <c r="D16" s="6">
        <f t="shared" si="0"/>
        <v>22658.739500000003</v>
      </c>
      <c r="E16" s="6">
        <f t="shared" si="1"/>
        <v>65.589367945141433</v>
      </c>
    </row>
    <row r="17" spans="1:5" x14ac:dyDescent="0.3">
      <c r="A17" t="str">
        <f>TEXT(Table13[[#This Row],[Order_Date]],"mmm-yyyy")</f>
        <v>Nov-2025</v>
      </c>
      <c r="B17" s="6">
        <f>SUMIF(Orders!K:K,A17,Orders!E:E)</f>
        <v>10592.798500000001</v>
      </c>
      <c r="C17" s="6">
        <f t="shared" si="2"/>
        <v>57205.100000000006</v>
      </c>
      <c r="D17" s="6">
        <f t="shared" si="0"/>
        <v>-46612.301500000001</v>
      </c>
      <c r="E17" s="6">
        <f t="shared" si="1"/>
        <v>-81.482772515037993</v>
      </c>
    </row>
    <row r="18" spans="1:5" x14ac:dyDescent="0.3">
      <c r="A18" t="str">
        <f>TEXT(Table13[[#This Row],[Order_Date]],"mmm-yyyy")</f>
        <v>Feb-2023</v>
      </c>
      <c r="B18" s="6">
        <f>SUMIF(Orders!K:K,A18,Orders!E:E)</f>
        <v>31599.2045</v>
      </c>
      <c r="C18" s="6">
        <f t="shared" si="2"/>
        <v>10592.798500000001</v>
      </c>
      <c r="D18" s="6">
        <f t="shared" si="0"/>
        <v>21006.405999999999</v>
      </c>
      <c r="E18" s="6">
        <f t="shared" si="1"/>
        <v>198.30836959657069</v>
      </c>
    </row>
    <row r="19" spans="1:5" x14ac:dyDescent="0.3">
      <c r="A19" t="str">
        <f>TEXT(Table13[[#This Row],[Order_Date]],"mmm-yyyy")</f>
        <v>May-2024</v>
      </c>
      <c r="B19" s="6">
        <f>SUMIF(Orders!K:K,A19,Orders!E:E)</f>
        <v>161169.386</v>
      </c>
      <c r="C19" s="6">
        <f t="shared" si="2"/>
        <v>31599.2045</v>
      </c>
      <c r="D19" s="6">
        <f t="shared" si="0"/>
        <v>129570.18150000001</v>
      </c>
      <c r="E19" s="6">
        <f t="shared" si="1"/>
        <v>410.04254236843212</v>
      </c>
    </row>
    <row r="20" spans="1:5" x14ac:dyDescent="0.3">
      <c r="A20" t="str">
        <f>TEXT(Table13[[#This Row],[Order_Date]],"mmm-yyyy")</f>
        <v>Nov-2023</v>
      </c>
      <c r="B20" s="6">
        <f>SUMIF(Orders!K:K,A20,Orders!E:E)</f>
        <v>87862.09550000001</v>
      </c>
      <c r="C20" s="6">
        <f t="shared" si="2"/>
        <v>161169.386</v>
      </c>
      <c r="D20" s="6">
        <f t="shared" si="0"/>
        <v>-73307.290499999988</v>
      </c>
      <c r="E20" s="6">
        <f t="shared" si="1"/>
        <v>-45.484624790963707</v>
      </c>
    </row>
    <row r="21" spans="1:5" x14ac:dyDescent="0.3">
      <c r="A21" t="str">
        <f>TEXT(Table13[[#This Row],[Order_Date]],"mmm-yyyy")</f>
        <v>Jun-2023</v>
      </c>
      <c r="B21" s="6">
        <f>SUMIF(Orders!K:K,A21,Orders!E:E)</f>
        <v>62271.799000000006</v>
      </c>
      <c r="C21" s="6">
        <f t="shared" si="2"/>
        <v>87862.09550000001</v>
      </c>
      <c r="D21" s="6">
        <f t="shared" si="0"/>
        <v>-25590.296500000004</v>
      </c>
      <c r="E21" s="6">
        <f t="shared" si="1"/>
        <v>-29.125524897138384</v>
      </c>
    </row>
    <row r="22" spans="1:5" x14ac:dyDescent="0.3">
      <c r="A22" t="str">
        <f>TEXT(Table13[[#This Row],[Order_Date]],"mmm-yyyy")</f>
        <v>May-2025</v>
      </c>
      <c r="B22" s="6">
        <f>SUMIF(Orders!K:K,A22,Orders!E:E)</f>
        <v>66561.381000000008</v>
      </c>
      <c r="C22" s="6">
        <f t="shared" si="2"/>
        <v>62271.799000000006</v>
      </c>
      <c r="D22" s="6">
        <f t="shared" si="0"/>
        <v>4289.5820000000022</v>
      </c>
      <c r="E22" s="6">
        <f t="shared" si="1"/>
        <v>6.8884825376572172</v>
      </c>
    </row>
    <row r="23" spans="1:5" x14ac:dyDescent="0.3">
      <c r="A23" t="str">
        <f>TEXT(Table13[[#This Row],[Order_Date]],"mmm-yyyy")</f>
        <v>Mar-2023</v>
      </c>
      <c r="B23" s="6">
        <f>SUMIF(Orders!K:K,A23,Orders!E:E)</f>
        <v>54243.0265</v>
      </c>
      <c r="C23" s="6">
        <f t="shared" si="2"/>
        <v>66561.381000000008</v>
      </c>
      <c r="D23" s="6">
        <f t="shared" si="0"/>
        <v>-12318.354500000009</v>
      </c>
      <c r="E23" s="6">
        <f t="shared" si="1"/>
        <v>-18.506759197198758</v>
      </c>
    </row>
    <row r="24" spans="1:5" x14ac:dyDescent="0.3">
      <c r="A24" t="str">
        <f>TEXT(Table13[[#This Row],[Order_Date]],"mmm-yyyy")</f>
        <v>Feb-2024</v>
      </c>
      <c r="B24" s="6">
        <f>SUMIF(Orders!K:K,A24,Orders!E:E)</f>
        <v>63420.142</v>
      </c>
      <c r="C24" s="6">
        <f t="shared" si="2"/>
        <v>54243.0265</v>
      </c>
      <c r="D24" s="6">
        <f t="shared" si="0"/>
        <v>9177.1154999999999</v>
      </c>
      <c r="E24" s="6">
        <f t="shared" si="1"/>
        <v>16.918516705552925</v>
      </c>
    </row>
    <row r="25" spans="1:5" x14ac:dyDescent="0.3">
      <c r="A25" t="str">
        <f>TEXT(Table13[[#This Row],[Order_Date]],"mmm-yyyy")</f>
        <v>Jun-2023</v>
      </c>
      <c r="B25" s="6">
        <f>SUMIF(Orders!K:K,A25,Orders!E:E)</f>
        <v>62271.799000000006</v>
      </c>
      <c r="C25" s="6">
        <f t="shared" si="2"/>
        <v>63420.142</v>
      </c>
      <c r="D25" s="6">
        <f t="shared" si="0"/>
        <v>-1148.3429999999935</v>
      </c>
      <c r="E25" s="6">
        <f t="shared" si="1"/>
        <v>-1.810691310025754</v>
      </c>
    </row>
    <row r="26" spans="1:5" x14ac:dyDescent="0.3">
      <c r="A26" t="str">
        <f>TEXT(Table13[[#This Row],[Order_Date]],"mmm-yyyy")</f>
        <v>May-2024</v>
      </c>
      <c r="B26" s="6">
        <f>SUMIF(Orders!K:K,A26,Orders!E:E)</f>
        <v>161169.386</v>
      </c>
      <c r="C26" s="6">
        <f t="shared" si="2"/>
        <v>62271.799000000006</v>
      </c>
      <c r="D26" s="6">
        <f t="shared" si="0"/>
        <v>98897.587</v>
      </c>
      <c r="E26" s="6">
        <f t="shared" si="1"/>
        <v>158.8160107595414</v>
      </c>
    </row>
    <row r="27" spans="1:5" x14ac:dyDescent="0.3">
      <c r="A27" t="str">
        <f>TEXT(Table13[[#This Row],[Order_Date]],"mmm-yyyy")</f>
        <v>Oct-2023</v>
      </c>
      <c r="B27" s="6">
        <f>SUMIF(Orders!K:K,A27,Orders!E:E)</f>
        <v>35673.451500000003</v>
      </c>
      <c r="C27" s="6">
        <f t="shared" si="2"/>
        <v>161169.386</v>
      </c>
      <c r="D27" s="6">
        <f t="shared" si="0"/>
        <v>-125495.9345</v>
      </c>
      <c r="E27" s="6">
        <f t="shared" si="1"/>
        <v>-77.865863744123217</v>
      </c>
    </row>
    <row r="28" spans="1:5" x14ac:dyDescent="0.3">
      <c r="A28" t="str">
        <f>TEXT(Table13[[#This Row],[Order_Date]],"mmm-yyyy")</f>
        <v>Jun-2025</v>
      </c>
      <c r="B28" s="6">
        <f>SUMIF(Orders!K:K,A28,Orders!E:E)</f>
        <v>28111.332999999999</v>
      </c>
      <c r="C28" s="6">
        <f t="shared" si="2"/>
        <v>35673.451500000003</v>
      </c>
      <c r="D28" s="6">
        <f t="shared" si="0"/>
        <v>-7562.1185000000041</v>
      </c>
      <c r="E28" s="6">
        <f t="shared" si="1"/>
        <v>-21.198168895992595</v>
      </c>
    </row>
    <row r="29" spans="1:5" x14ac:dyDescent="0.3">
      <c r="A29" t="str">
        <f>TEXT(Table13[[#This Row],[Order_Date]],"mmm-yyyy")</f>
        <v>Mar-2023</v>
      </c>
      <c r="B29" s="6">
        <f>SUMIF(Orders!K:K,A29,Orders!E:E)</f>
        <v>54243.0265</v>
      </c>
      <c r="C29" s="6">
        <f t="shared" si="2"/>
        <v>28111.332999999999</v>
      </c>
      <c r="D29" s="6">
        <f t="shared" si="0"/>
        <v>26131.693500000001</v>
      </c>
      <c r="E29" s="6">
        <f t="shared" si="1"/>
        <v>92.957859735786997</v>
      </c>
    </row>
    <row r="30" spans="1:5" x14ac:dyDescent="0.3">
      <c r="A30" t="str">
        <f>TEXT(Table13[[#This Row],[Order_Date]],"mmm-yyyy")</f>
        <v>Nov-2024</v>
      </c>
      <c r="B30" s="6">
        <f>SUMIF(Orders!K:K,A30,Orders!E:E)</f>
        <v>44725.173500000004</v>
      </c>
      <c r="C30" s="6">
        <f t="shared" si="2"/>
        <v>54243.0265</v>
      </c>
      <c r="D30" s="6">
        <f t="shared" si="0"/>
        <v>-9517.8529999999955</v>
      </c>
      <c r="E30" s="6">
        <f t="shared" si="1"/>
        <v>-17.546685010284214</v>
      </c>
    </row>
    <row r="31" spans="1:5" x14ac:dyDescent="0.3">
      <c r="A31" t="str">
        <f>TEXT(Table13[[#This Row],[Order_Date]],"mmm-yyyy")</f>
        <v>Sep-2023</v>
      </c>
      <c r="B31" s="6">
        <f>SUMIF(Orders!K:K,A31,Orders!E:E)</f>
        <v>54431.520499999999</v>
      </c>
      <c r="C31" s="6">
        <f t="shared" si="2"/>
        <v>44725.173500000004</v>
      </c>
      <c r="D31" s="6">
        <f t="shared" si="0"/>
        <v>9706.3469999999943</v>
      </c>
      <c r="E31" s="6">
        <f t="shared" si="1"/>
        <v>21.702200886934499</v>
      </c>
    </row>
    <row r="32" spans="1:5" x14ac:dyDescent="0.3">
      <c r="A32" t="str">
        <f>TEXT(Table13[[#This Row],[Order_Date]],"mmm-yyyy")</f>
        <v>Jul-2024</v>
      </c>
      <c r="B32" s="6">
        <f>SUMIF(Orders!K:K,A32,Orders!E:E)</f>
        <v>46499.452500000007</v>
      </c>
      <c r="C32" s="6">
        <f t="shared" si="2"/>
        <v>54431.520499999999</v>
      </c>
      <c r="D32" s="6">
        <f t="shared" si="0"/>
        <v>-7932.067999999992</v>
      </c>
      <c r="E32" s="6">
        <f t="shared" si="1"/>
        <v>-14.572563704150046</v>
      </c>
    </row>
    <row r="33" spans="1:5" x14ac:dyDescent="0.3">
      <c r="A33" t="str">
        <f>TEXT(Table13[[#This Row],[Order_Date]],"mmm-yyyy")</f>
        <v>Feb-2024</v>
      </c>
      <c r="B33" s="6">
        <f>SUMIF(Orders!K:K,A33,Orders!E:E)</f>
        <v>63420.142</v>
      </c>
      <c r="C33" s="6">
        <f t="shared" si="2"/>
        <v>46499.452500000007</v>
      </c>
      <c r="D33" s="6">
        <f t="shared" si="0"/>
        <v>16920.689499999993</v>
      </c>
      <c r="E33" s="6">
        <f t="shared" si="1"/>
        <v>36.389008021115927</v>
      </c>
    </row>
    <row r="34" spans="1:5" x14ac:dyDescent="0.3">
      <c r="A34" t="str">
        <f>TEXT(Table13[[#This Row],[Order_Date]],"mmm-yyyy")</f>
        <v>Sep-2025</v>
      </c>
      <c r="B34" s="6">
        <f>SUMIF(Orders!K:K,A34,Orders!E:E)</f>
        <v>8756.5400000000009</v>
      </c>
      <c r="C34" s="6">
        <f t="shared" si="2"/>
        <v>63420.142</v>
      </c>
      <c r="D34" s="6">
        <f t="shared" si="0"/>
        <v>-54663.601999999999</v>
      </c>
      <c r="E34" s="6">
        <f t="shared" si="1"/>
        <v>-86.192809218244889</v>
      </c>
    </row>
    <row r="35" spans="1:5" x14ac:dyDescent="0.3">
      <c r="A35" t="str">
        <f>TEXT(Table13[[#This Row],[Order_Date]],"mmm-yyyy")</f>
        <v>May-2023</v>
      </c>
      <c r="B35" s="6">
        <f>SUMIF(Orders!K:K,A35,Orders!E:E)</f>
        <v>73563.426500000001</v>
      </c>
      <c r="C35" s="6">
        <f t="shared" si="2"/>
        <v>8756.5400000000009</v>
      </c>
      <c r="D35" s="6">
        <f t="shared" si="0"/>
        <v>64806.886500000001</v>
      </c>
      <c r="E35" s="6">
        <f t="shared" si="1"/>
        <v>740.09696181368429</v>
      </c>
    </row>
    <row r="36" spans="1:5" x14ac:dyDescent="0.3">
      <c r="A36" t="str">
        <f>TEXT(Table13[[#This Row],[Order_Date]],"mmm-yyyy")</f>
        <v>Aug-2025</v>
      </c>
      <c r="B36" s="6">
        <f>SUMIF(Orders!K:K,A36,Orders!E:E)</f>
        <v>7924.0545000000002</v>
      </c>
      <c r="C36" s="6">
        <f t="shared" si="2"/>
        <v>73563.426500000001</v>
      </c>
      <c r="D36" s="6">
        <f t="shared" si="0"/>
        <v>-65639.372000000003</v>
      </c>
      <c r="E36" s="6">
        <f t="shared" si="1"/>
        <v>-89.228268887121516</v>
      </c>
    </row>
    <row r="37" spans="1:5" x14ac:dyDescent="0.3">
      <c r="A37" t="str">
        <f>TEXT(Table13[[#This Row],[Order_Date]],"mmm-yyyy")</f>
        <v>Mar-2023</v>
      </c>
      <c r="B37" s="6">
        <f>SUMIF(Orders!K:K,A37,Orders!E:E)</f>
        <v>54243.0265</v>
      </c>
      <c r="C37" s="6">
        <f t="shared" si="2"/>
        <v>7924.0545000000002</v>
      </c>
      <c r="D37" s="6">
        <f t="shared" si="0"/>
        <v>46318.972000000002</v>
      </c>
      <c r="E37" s="6">
        <f t="shared" si="1"/>
        <v>584.5362623389326</v>
      </c>
    </row>
    <row r="38" spans="1:5" x14ac:dyDescent="0.3">
      <c r="A38" t="str">
        <f>TEXT(Table13[[#This Row],[Order_Date]],"mmm-yyyy")</f>
        <v>Mar-2025</v>
      </c>
      <c r="B38" s="6">
        <f>SUMIF(Orders!K:K,A38,Orders!E:E)</f>
        <v>68592.676000000007</v>
      </c>
      <c r="C38" s="6">
        <f t="shared" si="2"/>
        <v>54243.0265</v>
      </c>
      <c r="D38" s="6">
        <f t="shared" si="0"/>
        <v>14349.649500000007</v>
      </c>
      <c r="E38" s="6">
        <f t="shared" si="1"/>
        <v>26.454367364623373</v>
      </c>
    </row>
    <row r="39" spans="1:5" x14ac:dyDescent="0.3">
      <c r="A39" t="str">
        <f>TEXT(Table13[[#This Row],[Order_Date]],"mmm-yyyy")</f>
        <v>Jun-2025</v>
      </c>
      <c r="B39" s="6">
        <f>SUMIF(Orders!K:K,A39,Orders!E:E)</f>
        <v>28111.332999999999</v>
      </c>
      <c r="C39" s="6">
        <f t="shared" si="2"/>
        <v>68592.676000000007</v>
      </c>
      <c r="D39" s="6">
        <f t="shared" si="0"/>
        <v>-40481.343000000008</v>
      </c>
      <c r="E39" s="6">
        <f t="shared" si="1"/>
        <v>-59.017004964203466</v>
      </c>
    </row>
    <row r="40" spans="1:5" x14ac:dyDescent="0.3">
      <c r="A40" t="str">
        <f>TEXT(Table13[[#This Row],[Order_Date]],"mmm-yyyy")</f>
        <v>Feb-2024</v>
      </c>
      <c r="B40" s="6">
        <f>SUMIF(Orders!K:K,A40,Orders!E:E)</f>
        <v>63420.142</v>
      </c>
      <c r="C40" s="6">
        <f t="shared" si="2"/>
        <v>28111.332999999999</v>
      </c>
      <c r="D40" s="6">
        <f t="shared" si="0"/>
        <v>35308.809000000001</v>
      </c>
      <c r="E40" s="6">
        <f t="shared" si="1"/>
        <v>125.6034674698635</v>
      </c>
    </row>
    <row r="41" spans="1:5" x14ac:dyDescent="0.3">
      <c r="A41" t="str">
        <f>TEXT(Table13[[#This Row],[Order_Date]],"mmm-yyyy")</f>
        <v>Sep-2023</v>
      </c>
      <c r="B41" s="6">
        <f>SUMIF(Orders!K:K,A41,Orders!E:E)</f>
        <v>54431.520499999999</v>
      </c>
      <c r="C41" s="6">
        <f t="shared" si="2"/>
        <v>63420.142</v>
      </c>
      <c r="D41" s="6">
        <f t="shared" si="0"/>
        <v>-8988.6215000000011</v>
      </c>
      <c r="E41" s="6">
        <f t="shared" si="1"/>
        <v>-14.173133671003136</v>
      </c>
    </row>
    <row r="42" spans="1:5" x14ac:dyDescent="0.3">
      <c r="A42" t="str">
        <f>TEXT(Table13[[#This Row],[Order_Date]],"mmm-yyyy")</f>
        <v>Oct-2023</v>
      </c>
      <c r="B42" s="6">
        <f>SUMIF(Orders!K:K,A42,Orders!E:E)</f>
        <v>35673.451500000003</v>
      </c>
      <c r="C42" s="6">
        <f t="shared" si="2"/>
        <v>54431.520499999999</v>
      </c>
      <c r="D42" s="6">
        <f t="shared" si="0"/>
        <v>-18758.068999999996</v>
      </c>
      <c r="E42" s="6">
        <f t="shared" si="1"/>
        <v>-34.461776609749485</v>
      </c>
    </row>
    <row r="43" spans="1:5" x14ac:dyDescent="0.3">
      <c r="A43" t="str">
        <f>TEXT(Table13[[#This Row],[Order_Date]],"mmm-yyyy")</f>
        <v>Jun-2024</v>
      </c>
      <c r="B43" s="6">
        <f>SUMIF(Orders!K:K,A43,Orders!E:E)</f>
        <v>28904.2945</v>
      </c>
      <c r="C43" s="6">
        <f t="shared" si="2"/>
        <v>35673.451500000003</v>
      </c>
      <c r="D43" s="6">
        <f t="shared" si="0"/>
        <v>-6769.1570000000029</v>
      </c>
      <c r="E43" s="6">
        <f t="shared" si="1"/>
        <v>-18.9753352013051</v>
      </c>
    </row>
    <row r="44" spans="1:5" x14ac:dyDescent="0.3">
      <c r="A44" t="str">
        <f>TEXT(Table13[[#This Row],[Order_Date]],"mmm-yyyy")</f>
        <v>Jul-2023</v>
      </c>
      <c r="B44" s="6">
        <f>SUMIF(Orders!K:K,A44,Orders!E:E)</f>
        <v>64908.902500000004</v>
      </c>
      <c r="C44" s="6">
        <f t="shared" si="2"/>
        <v>28904.2945</v>
      </c>
      <c r="D44" s="6">
        <f t="shared" si="0"/>
        <v>36004.608000000007</v>
      </c>
      <c r="E44" s="6">
        <f t="shared" si="1"/>
        <v>124.5649085121244</v>
      </c>
    </row>
    <row r="45" spans="1:5" x14ac:dyDescent="0.3">
      <c r="A45" t="str">
        <f>TEXT(Table13[[#This Row],[Order_Date]],"mmm-yyyy")</f>
        <v>May-2023</v>
      </c>
      <c r="B45" s="6">
        <f>SUMIF(Orders!K:K,A45,Orders!E:E)</f>
        <v>73563.426500000001</v>
      </c>
      <c r="C45" s="6">
        <f t="shared" si="2"/>
        <v>64908.902500000004</v>
      </c>
      <c r="D45" s="6">
        <f t="shared" si="0"/>
        <v>8654.5239999999976</v>
      </c>
      <c r="E45" s="6">
        <f t="shared" si="1"/>
        <v>13.333338982275963</v>
      </c>
    </row>
    <row r="46" spans="1:5" x14ac:dyDescent="0.3">
      <c r="A46" t="str">
        <f>TEXT(Table13[[#This Row],[Order_Date]],"mmm-yyyy")</f>
        <v>Jun-2023</v>
      </c>
      <c r="B46" s="6">
        <f>SUMIF(Orders!K:K,A46,Orders!E:E)</f>
        <v>62271.799000000006</v>
      </c>
      <c r="C46" s="6">
        <f t="shared" si="2"/>
        <v>73563.426500000001</v>
      </c>
      <c r="D46" s="6">
        <f t="shared" si="0"/>
        <v>-11291.627499999995</v>
      </c>
      <c r="E46" s="6">
        <f t="shared" si="1"/>
        <v>-15.349512709280875</v>
      </c>
    </row>
    <row r="47" spans="1:5" x14ac:dyDescent="0.3">
      <c r="A47" t="str">
        <f>TEXT(Table13[[#This Row],[Order_Date]],"mmm-yyyy")</f>
        <v>Apr-2024</v>
      </c>
      <c r="B47" s="6">
        <f>SUMIF(Orders!K:K,A47,Orders!E:E)</f>
        <v>36132.777000000002</v>
      </c>
      <c r="C47" s="6">
        <f t="shared" si="2"/>
        <v>62271.799000000006</v>
      </c>
      <c r="D47" s="6">
        <f t="shared" si="0"/>
        <v>-26139.022000000004</v>
      </c>
      <c r="E47" s="6">
        <f t="shared" si="1"/>
        <v>-41.975697538463599</v>
      </c>
    </row>
    <row r="48" spans="1:5" x14ac:dyDescent="0.3">
      <c r="A48" t="str">
        <f>TEXT(Table13[[#This Row],[Order_Date]],"mmm-yyyy")</f>
        <v>Mar-2025</v>
      </c>
      <c r="B48" s="6">
        <f>SUMIF(Orders!K:K,A48,Orders!E:E)</f>
        <v>68592.676000000007</v>
      </c>
      <c r="C48" s="6">
        <f t="shared" si="2"/>
        <v>36132.777000000002</v>
      </c>
      <c r="D48" s="6">
        <f t="shared" si="0"/>
        <v>32459.899000000005</v>
      </c>
      <c r="E48" s="6">
        <f t="shared" si="1"/>
        <v>89.835051980643513</v>
      </c>
    </row>
    <row r="49" spans="1:5" x14ac:dyDescent="0.3">
      <c r="A49" t="str">
        <f>TEXT(Table13[[#This Row],[Order_Date]],"mmm-yyyy")</f>
        <v>Sep-2024</v>
      </c>
      <c r="B49" s="6">
        <f>SUMIF(Orders!K:K,A49,Orders!E:E)</f>
        <v>34965.875500000002</v>
      </c>
      <c r="C49" s="6">
        <f t="shared" si="2"/>
        <v>68592.676000000007</v>
      </c>
      <c r="D49" s="6">
        <f t="shared" si="0"/>
        <v>-33626.800500000005</v>
      </c>
      <c r="E49" s="6">
        <f t="shared" si="1"/>
        <v>-49.02389360053543</v>
      </c>
    </row>
    <row r="50" spans="1:5" x14ac:dyDescent="0.3">
      <c r="A50" t="str">
        <f>TEXT(Table13[[#This Row],[Order_Date]],"mmm-yyyy")</f>
        <v>Mar-2024</v>
      </c>
      <c r="B50" s="6">
        <f>SUMIF(Orders!K:K,A50,Orders!E:E)</f>
        <v>57373.933500000006</v>
      </c>
      <c r="C50" s="6">
        <f t="shared" si="2"/>
        <v>34965.875500000002</v>
      </c>
      <c r="D50" s="6">
        <f t="shared" si="0"/>
        <v>22408.058000000005</v>
      </c>
      <c r="E50" s="6">
        <f t="shared" si="1"/>
        <v>64.085505309312225</v>
      </c>
    </row>
    <row r="51" spans="1:5" x14ac:dyDescent="0.3">
      <c r="A51" t="str">
        <f>TEXT(Table13[[#This Row],[Order_Date]],"mmm-yyyy")</f>
        <v>Jun-2024</v>
      </c>
      <c r="B51" s="6">
        <f>SUMIF(Orders!K:K,A51,Orders!E:E)</f>
        <v>28904.2945</v>
      </c>
      <c r="C51" s="6">
        <f t="shared" si="2"/>
        <v>57373.933500000006</v>
      </c>
      <c r="D51" s="6">
        <f t="shared" si="0"/>
        <v>-28469.639000000006</v>
      </c>
      <c r="E51" s="6">
        <f t="shared" si="1"/>
        <v>-49.621208209473735</v>
      </c>
    </row>
    <row r="52" spans="1:5" x14ac:dyDescent="0.3">
      <c r="A52" t="str">
        <f>TEXT(Table13[[#This Row],[Order_Date]],"mmm-yyyy")</f>
        <v>Mar-2023</v>
      </c>
      <c r="B52" s="6">
        <f>SUMIF(Orders!K:K,A52,Orders!E:E)</f>
        <v>54243.0265</v>
      </c>
      <c r="C52" s="6">
        <f t="shared" si="2"/>
        <v>28904.2945</v>
      </c>
      <c r="D52" s="6">
        <f t="shared" si="0"/>
        <v>25338.732</v>
      </c>
      <c r="E52" s="6">
        <f t="shared" si="1"/>
        <v>87.664246570695582</v>
      </c>
    </row>
    <row r="53" spans="1:5" x14ac:dyDescent="0.3">
      <c r="A53" t="str">
        <f>TEXT(Table13[[#This Row],[Order_Date]],"mmm-yyyy")</f>
        <v>Jan-2025</v>
      </c>
      <c r="B53" s="6">
        <f>SUMIF(Orders!K:K,A53,Orders!E:E)</f>
        <v>34546.360500000003</v>
      </c>
      <c r="C53" s="6">
        <f t="shared" si="2"/>
        <v>54243.0265</v>
      </c>
      <c r="D53" s="6">
        <f t="shared" si="0"/>
        <v>-19696.665999999997</v>
      </c>
      <c r="E53" s="6">
        <f t="shared" si="1"/>
        <v>-36.311886100234467</v>
      </c>
    </row>
    <row r="54" spans="1:5" x14ac:dyDescent="0.3">
      <c r="A54" t="str">
        <f>TEXT(Table13[[#This Row],[Order_Date]],"mmm-yyyy")</f>
        <v>Dec-2024</v>
      </c>
      <c r="B54" s="6">
        <f>SUMIF(Orders!K:K,A54,Orders!E:E)</f>
        <v>27646.277000000002</v>
      </c>
      <c r="C54" s="6">
        <f t="shared" si="2"/>
        <v>34546.360500000003</v>
      </c>
      <c r="D54" s="6">
        <f t="shared" si="0"/>
        <v>-6900.0835000000006</v>
      </c>
      <c r="E54" s="6">
        <f t="shared" si="1"/>
        <v>-19.973402118582072</v>
      </c>
    </row>
    <row r="55" spans="1:5" x14ac:dyDescent="0.3">
      <c r="A55" t="str">
        <f>TEXT(Table13[[#This Row],[Order_Date]],"mmm-yyyy")</f>
        <v>May-2024</v>
      </c>
      <c r="B55" s="6">
        <f>SUMIF(Orders!K:K,A55,Orders!E:E)</f>
        <v>161169.386</v>
      </c>
      <c r="C55" s="6">
        <f t="shared" si="2"/>
        <v>27646.277000000002</v>
      </c>
      <c r="D55" s="6">
        <f t="shared" si="0"/>
        <v>133523.109</v>
      </c>
      <c r="E55" s="6">
        <f t="shared" si="1"/>
        <v>482.96958393348939</v>
      </c>
    </row>
    <row r="56" spans="1:5" x14ac:dyDescent="0.3">
      <c r="A56" t="str">
        <f>TEXT(Table13[[#This Row],[Order_Date]],"mmm-yyyy")</f>
        <v>Apr-2024</v>
      </c>
      <c r="B56" s="6">
        <f>SUMIF(Orders!K:K,A56,Orders!E:E)</f>
        <v>36132.777000000002</v>
      </c>
      <c r="C56" s="6">
        <f t="shared" si="2"/>
        <v>161169.386</v>
      </c>
      <c r="D56" s="6">
        <f t="shared" si="0"/>
        <v>-125036.609</v>
      </c>
      <c r="E56" s="6">
        <f t="shared" si="1"/>
        <v>-77.580868242558182</v>
      </c>
    </row>
    <row r="57" spans="1:5" x14ac:dyDescent="0.3">
      <c r="A57" t="str">
        <f>TEXT(Table13[[#This Row],[Order_Date]],"mmm-yyyy")</f>
        <v>Nov-2025</v>
      </c>
      <c r="B57" s="6">
        <f>SUMIF(Orders!K:K,A57,Orders!E:E)</f>
        <v>10592.798500000001</v>
      </c>
      <c r="C57" s="6">
        <f t="shared" si="2"/>
        <v>36132.777000000002</v>
      </c>
      <c r="D57" s="6">
        <f t="shared" si="0"/>
        <v>-25539.978500000001</v>
      </c>
      <c r="E57" s="6">
        <f t="shared" si="1"/>
        <v>-70.683685618738906</v>
      </c>
    </row>
    <row r="58" spans="1:5" x14ac:dyDescent="0.3">
      <c r="A58" t="str">
        <f>TEXT(Table13[[#This Row],[Order_Date]],"mmm-yyyy")</f>
        <v>Jun-2025</v>
      </c>
      <c r="B58" s="6">
        <f>SUMIF(Orders!K:K,A58,Orders!E:E)</f>
        <v>28111.332999999999</v>
      </c>
      <c r="C58" s="6">
        <f t="shared" si="2"/>
        <v>10592.798500000001</v>
      </c>
      <c r="D58" s="6">
        <f t="shared" si="0"/>
        <v>17518.534499999998</v>
      </c>
      <c r="E58" s="6">
        <f t="shared" si="1"/>
        <v>165.38155143798872</v>
      </c>
    </row>
    <row r="59" spans="1:5" x14ac:dyDescent="0.3">
      <c r="A59" t="str">
        <f>TEXT(Table13[[#This Row],[Order_Date]],"mmm-yyyy")</f>
        <v>May-2023</v>
      </c>
      <c r="B59" s="6">
        <f>SUMIF(Orders!K:K,A59,Orders!E:E)</f>
        <v>73563.426500000001</v>
      </c>
      <c r="C59" s="6">
        <f t="shared" si="2"/>
        <v>28111.332999999999</v>
      </c>
      <c r="D59" s="6">
        <f t="shared" si="0"/>
        <v>45452.093500000003</v>
      </c>
      <c r="E59" s="6">
        <f t="shared" si="1"/>
        <v>161.68601289736065</v>
      </c>
    </row>
    <row r="60" spans="1:5" x14ac:dyDescent="0.3">
      <c r="A60" t="str">
        <f>TEXT(Table13[[#This Row],[Order_Date]],"mmm-yyyy")</f>
        <v>Jan-2023</v>
      </c>
      <c r="B60" s="6">
        <f>SUMIF(Orders!K:K,A60,Orders!E:E)</f>
        <v>36342.019</v>
      </c>
      <c r="C60" s="6">
        <f t="shared" si="2"/>
        <v>73563.426500000001</v>
      </c>
      <c r="D60" s="6">
        <f t="shared" si="0"/>
        <v>-37221.407500000001</v>
      </c>
      <c r="E60" s="6">
        <f t="shared" si="1"/>
        <v>-50.597707680188066</v>
      </c>
    </row>
    <row r="61" spans="1:5" x14ac:dyDescent="0.3">
      <c r="A61" t="str">
        <f>TEXT(Table13[[#This Row],[Order_Date]],"mmm-yyyy")</f>
        <v>Mar-2024</v>
      </c>
      <c r="B61" s="6">
        <f>SUMIF(Orders!K:K,A61,Orders!E:E)</f>
        <v>57373.933500000006</v>
      </c>
      <c r="C61" s="6">
        <f t="shared" si="2"/>
        <v>36342.019</v>
      </c>
      <c r="D61" s="6">
        <f t="shared" si="0"/>
        <v>21031.914500000006</v>
      </c>
      <c r="E61" s="6">
        <f t="shared" si="1"/>
        <v>57.872168577095309</v>
      </c>
    </row>
    <row r="62" spans="1:5" x14ac:dyDescent="0.3">
      <c r="A62" t="str">
        <f>TEXT(Table13[[#This Row],[Order_Date]],"mmm-yyyy")</f>
        <v>Jan-2025</v>
      </c>
      <c r="B62" s="6">
        <f>SUMIF(Orders!K:K,A62,Orders!E:E)</f>
        <v>34546.360500000003</v>
      </c>
      <c r="C62" s="6">
        <f t="shared" si="2"/>
        <v>57373.933500000006</v>
      </c>
      <c r="D62" s="6">
        <f t="shared" si="0"/>
        <v>-22827.573000000004</v>
      </c>
      <c r="E62" s="6">
        <f t="shared" si="1"/>
        <v>-39.787359184637396</v>
      </c>
    </row>
    <row r="63" spans="1:5" x14ac:dyDescent="0.3">
      <c r="A63" t="str">
        <f>TEXT(Table13[[#This Row],[Order_Date]],"mmm-yyyy")</f>
        <v>Dec-2023</v>
      </c>
      <c r="B63" s="6">
        <f>SUMIF(Orders!K:K,A63,Orders!E:E)</f>
        <v>28438.1345</v>
      </c>
      <c r="C63" s="6">
        <f t="shared" si="2"/>
        <v>34546.360500000003</v>
      </c>
      <c r="D63" s="6">
        <f t="shared" si="0"/>
        <v>-6108.2260000000024</v>
      </c>
      <c r="E63" s="6">
        <f t="shared" si="1"/>
        <v>-17.681243151503619</v>
      </c>
    </row>
    <row r="64" spans="1:5" x14ac:dyDescent="0.3">
      <c r="A64" t="str">
        <f>TEXT(Table13[[#This Row],[Order_Date]],"mmm-yyyy")</f>
        <v>Mar-2025</v>
      </c>
      <c r="B64" s="6">
        <f>SUMIF(Orders!K:K,A64,Orders!E:E)</f>
        <v>68592.676000000007</v>
      </c>
      <c r="C64" s="6">
        <f t="shared" si="2"/>
        <v>28438.1345</v>
      </c>
      <c r="D64" s="6">
        <f t="shared" si="0"/>
        <v>40154.541500000007</v>
      </c>
      <c r="E64" s="6">
        <f t="shared" si="1"/>
        <v>141.19963283808227</v>
      </c>
    </row>
    <row r="65" spans="1:5" x14ac:dyDescent="0.3">
      <c r="A65" t="str">
        <f>TEXT(Table13[[#This Row],[Order_Date]],"mmm-yyyy")</f>
        <v>Feb-2024</v>
      </c>
      <c r="B65" s="6">
        <f>SUMIF(Orders!K:K,A65,Orders!E:E)</f>
        <v>63420.142</v>
      </c>
      <c r="C65" s="6">
        <f t="shared" si="2"/>
        <v>68592.676000000007</v>
      </c>
      <c r="D65" s="6">
        <f t="shared" si="0"/>
        <v>-5172.5340000000069</v>
      </c>
      <c r="E65" s="6">
        <f t="shared" si="1"/>
        <v>-7.5409421262410099</v>
      </c>
    </row>
    <row r="66" spans="1:5" x14ac:dyDescent="0.3">
      <c r="A66" t="str">
        <f>TEXT(Table13[[#This Row],[Order_Date]],"mmm-yyyy")</f>
        <v>Sep-2023</v>
      </c>
      <c r="B66" s="6">
        <f>SUMIF(Orders!K:K,A66,Orders!E:E)</f>
        <v>54431.520499999999</v>
      </c>
      <c r="C66" s="6">
        <f t="shared" si="2"/>
        <v>63420.142</v>
      </c>
      <c r="D66" s="6">
        <f t="shared" si="0"/>
        <v>-8988.6215000000011</v>
      </c>
      <c r="E66" s="6">
        <f t="shared" si="1"/>
        <v>-14.173133671003136</v>
      </c>
    </row>
    <row r="67" spans="1:5" x14ac:dyDescent="0.3">
      <c r="A67" t="str">
        <f>TEXT(Table13[[#This Row],[Order_Date]],"mmm-yyyy")</f>
        <v>Jan-2023</v>
      </c>
      <c r="B67" s="6">
        <f>SUMIF(Orders!K:K,A67,Orders!E:E)</f>
        <v>36342.019</v>
      </c>
      <c r="C67" s="6">
        <f t="shared" si="2"/>
        <v>54431.520499999999</v>
      </c>
      <c r="D67" s="6">
        <f t="shared" ref="D67:D130" si="3">B67-C67</f>
        <v>-18089.501499999998</v>
      </c>
      <c r="E67" s="6">
        <f t="shared" ref="E67:E130" si="4">IF(C67=0,0,(D67/C67)*100)</f>
        <v>-33.233503921684495</v>
      </c>
    </row>
    <row r="68" spans="1:5" x14ac:dyDescent="0.3">
      <c r="A68" t="str">
        <f>TEXT(Table13[[#This Row],[Order_Date]],"mmm-yyyy")</f>
        <v>Jul-2023</v>
      </c>
      <c r="B68" s="6">
        <f>SUMIF(Orders!K:K,A68,Orders!E:E)</f>
        <v>64908.902500000004</v>
      </c>
      <c r="C68" s="6">
        <f t="shared" ref="C68:C131" si="5">B67</f>
        <v>36342.019</v>
      </c>
      <c r="D68" s="6">
        <f t="shared" si="3"/>
        <v>28566.883500000004</v>
      </c>
      <c r="E68" s="6">
        <f t="shared" si="4"/>
        <v>78.605658920600987</v>
      </c>
    </row>
    <row r="69" spans="1:5" x14ac:dyDescent="0.3">
      <c r="A69" t="str">
        <f>TEXT(Table13[[#This Row],[Order_Date]],"mmm-yyyy")</f>
        <v>Dec-2024</v>
      </c>
      <c r="B69" s="6">
        <f>SUMIF(Orders!K:K,A69,Orders!E:E)</f>
        <v>27646.277000000002</v>
      </c>
      <c r="C69" s="6">
        <f t="shared" si="5"/>
        <v>64908.902500000004</v>
      </c>
      <c r="D69" s="6">
        <f t="shared" si="3"/>
        <v>-37262.625500000002</v>
      </c>
      <c r="E69" s="6">
        <f t="shared" si="4"/>
        <v>-57.407572867219557</v>
      </c>
    </row>
    <row r="70" spans="1:5" x14ac:dyDescent="0.3">
      <c r="A70" t="str">
        <f>TEXT(Table13[[#This Row],[Order_Date]],"mmm-yyyy")</f>
        <v>Nov-2024</v>
      </c>
      <c r="B70" s="6">
        <f>SUMIF(Orders!K:K,A70,Orders!E:E)</f>
        <v>44725.173500000004</v>
      </c>
      <c r="C70" s="6">
        <f t="shared" si="5"/>
        <v>27646.277000000002</v>
      </c>
      <c r="D70" s="6">
        <f t="shared" si="3"/>
        <v>17078.896500000003</v>
      </c>
      <c r="E70" s="6">
        <f t="shared" si="4"/>
        <v>61.776478981238604</v>
      </c>
    </row>
    <row r="71" spans="1:5" x14ac:dyDescent="0.3">
      <c r="A71" t="str">
        <f>TEXT(Table13[[#This Row],[Order_Date]],"mmm-yyyy")</f>
        <v>Mar-2025</v>
      </c>
      <c r="B71" s="6">
        <f>SUMIF(Orders!K:K,A71,Orders!E:E)</f>
        <v>68592.676000000007</v>
      </c>
      <c r="C71" s="6">
        <f t="shared" si="5"/>
        <v>44725.173500000004</v>
      </c>
      <c r="D71" s="6">
        <f t="shared" si="3"/>
        <v>23867.502500000002</v>
      </c>
      <c r="E71" s="6">
        <f t="shared" si="4"/>
        <v>53.364806958211133</v>
      </c>
    </row>
    <row r="72" spans="1:5" x14ac:dyDescent="0.3">
      <c r="A72" t="str">
        <f>TEXT(Table13[[#This Row],[Order_Date]],"mmm-yyyy")</f>
        <v>Mar-2024</v>
      </c>
      <c r="B72" s="6">
        <f>SUMIF(Orders!K:K,A72,Orders!E:E)</f>
        <v>57373.933500000006</v>
      </c>
      <c r="C72" s="6">
        <f t="shared" si="5"/>
        <v>68592.676000000007</v>
      </c>
      <c r="D72" s="6">
        <f t="shared" si="3"/>
        <v>-11218.7425</v>
      </c>
      <c r="E72" s="6">
        <f t="shared" si="4"/>
        <v>-16.355598227425912</v>
      </c>
    </row>
    <row r="73" spans="1:5" x14ac:dyDescent="0.3">
      <c r="A73" t="str">
        <f>TEXT(Table13[[#This Row],[Order_Date]],"mmm-yyyy")</f>
        <v>Nov-2023</v>
      </c>
      <c r="B73" s="6">
        <f>SUMIF(Orders!K:K,A73,Orders!E:E)</f>
        <v>87862.09550000001</v>
      </c>
      <c r="C73" s="6">
        <f t="shared" si="5"/>
        <v>57373.933500000006</v>
      </c>
      <c r="D73" s="6">
        <f t="shared" si="3"/>
        <v>30488.162000000004</v>
      </c>
      <c r="E73" s="6">
        <f t="shared" si="4"/>
        <v>53.139396482202152</v>
      </c>
    </row>
    <row r="74" spans="1:5" x14ac:dyDescent="0.3">
      <c r="A74" t="str">
        <f>TEXT(Table13[[#This Row],[Order_Date]],"mmm-yyyy")</f>
        <v>Oct-2023</v>
      </c>
      <c r="B74" s="6">
        <f>SUMIF(Orders!K:K,A74,Orders!E:E)</f>
        <v>35673.451500000003</v>
      </c>
      <c r="C74" s="6">
        <f t="shared" si="5"/>
        <v>87862.09550000001</v>
      </c>
      <c r="D74" s="6">
        <f t="shared" si="3"/>
        <v>-52188.644000000008</v>
      </c>
      <c r="E74" s="6">
        <f t="shared" si="4"/>
        <v>-59.39836024056585</v>
      </c>
    </row>
    <row r="75" spans="1:5" x14ac:dyDescent="0.3">
      <c r="A75" t="str">
        <f>TEXT(Table13[[#This Row],[Order_Date]],"mmm-yyyy")</f>
        <v>Oct-2023</v>
      </c>
      <c r="B75" s="6">
        <f>SUMIF(Orders!K:K,A75,Orders!E:E)</f>
        <v>35673.451500000003</v>
      </c>
      <c r="C75" s="6">
        <f t="shared" si="5"/>
        <v>35673.451500000003</v>
      </c>
      <c r="D75" s="6">
        <f t="shared" si="3"/>
        <v>0</v>
      </c>
      <c r="E75" s="6">
        <f t="shared" si="4"/>
        <v>0</v>
      </c>
    </row>
    <row r="76" spans="1:5" x14ac:dyDescent="0.3">
      <c r="A76" t="str">
        <f>TEXT(Table13[[#This Row],[Order_Date]],"mmm-yyyy")</f>
        <v>Jan-2024</v>
      </c>
      <c r="B76" s="6">
        <f>SUMIF(Orders!K:K,A76,Orders!E:E)</f>
        <v>63121.498000000007</v>
      </c>
      <c r="C76" s="6">
        <f t="shared" si="5"/>
        <v>35673.451500000003</v>
      </c>
      <c r="D76" s="6">
        <f t="shared" si="3"/>
        <v>27448.046500000004</v>
      </c>
      <c r="E76" s="6">
        <f t="shared" si="4"/>
        <v>76.942503026375235</v>
      </c>
    </row>
    <row r="77" spans="1:5" x14ac:dyDescent="0.3">
      <c r="A77" t="str">
        <f>TEXT(Table13[[#This Row],[Order_Date]],"mmm-yyyy")</f>
        <v>Jul-2023</v>
      </c>
      <c r="B77" s="6">
        <f>SUMIF(Orders!K:K,A77,Orders!E:E)</f>
        <v>64908.902500000004</v>
      </c>
      <c r="C77" s="6">
        <f t="shared" si="5"/>
        <v>63121.498000000007</v>
      </c>
      <c r="D77" s="6">
        <f t="shared" si="3"/>
        <v>1787.4044999999969</v>
      </c>
      <c r="E77" s="6">
        <f t="shared" si="4"/>
        <v>2.8316889754422441</v>
      </c>
    </row>
    <row r="78" spans="1:5" x14ac:dyDescent="0.3">
      <c r="A78" t="str">
        <f>TEXT(Table13[[#This Row],[Order_Date]],"mmm-yyyy")</f>
        <v>Oct-2024</v>
      </c>
      <c r="B78" s="6">
        <f>SUMIF(Orders!K:K,A78,Orders!E:E)</f>
        <v>78501.203500000003</v>
      </c>
      <c r="C78" s="6">
        <f t="shared" si="5"/>
        <v>64908.902500000004</v>
      </c>
      <c r="D78" s="6">
        <f t="shared" si="3"/>
        <v>13592.300999999999</v>
      </c>
      <c r="E78" s="6">
        <f t="shared" si="4"/>
        <v>20.940580531306932</v>
      </c>
    </row>
    <row r="79" spans="1:5" x14ac:dyDescent="0.3">
      <c r="A79" t="str">
        <f>TEXT(Table13[[#This Row],[Order_Date]],"mmm-yyyy")</f>
        <v>Sep-2023</v>
      </c>
      <c r="B79" s="6">
        <f>SUMIF(Orders!K:K,A79,Orders!E:E)</f>
        <v>54431.520499999999</v>
      </c>
      <c r="C79" s="6">
        <f t="shared" si="5"/>
        <v>78501.203500000003</v>
      </c>
      <c r="D79" s="6">
        <f t="shared" si="3"/>
        <v>-24069.683000000005</v>
      </c>
      <c r="E79" s="6">
        <f t="shared" si="4"/>
        <v>-30.661546481895662</v>
      </c>
    </row>
    <row r="80" spans="1:5" x14ac:dyDescent="0.3">
      <c r="A80" t="str">
        <f>TEXT(Table13[[#This Row],[Order_Date]],"mmm-yyyy")</f>
        <v>Dec-2023</v>
      </c>
      <c r="B80" s="6">
        <f>SUMIF(Orders!K:K,A80,Orders!E:E)</f>
        <v>28438.1345</v>
      </c>
      <c r="C80" s="6">
        <f t="shared" si="5"/>
        <v>54431.520499999999</v>
      </c>
      <c r="D80" s="6">
        <f t="shared" si="3"/>
        <v>-25993.385999999999</v>
      </c>
      <c r="E80" s="6">
        <f t="shared" si="4"/>
        <v>-47.754289722624961</v>
      </c>
    </row>
    <row r="81" spans="1:5" x14ac:dyDescent="0.3">
      <c r="A81" t="str">
        <f>TEXT(Table13[[#This Row],[Order_Date]],"mmm-yyyy")</f>
        <v>Feb-2024</v>
      </c>
      <c r="B81" s="6">
        <f>SUMIF(Orders!K:K,A81,Orders!E:E)</f>
        <v>63420.142</v>
      </c>
      <c r="C81" s="6">
        <f t="shared" si="5"/>
        <v>28438.1345</v>
      </c>
      <c r="D81" s="6">
        <f t="shared" si="3"/>
        <v>34982.0075</v>
      </c>
      <c r="E81" s="6">
        <f t="shared" si="4"/>
        <v>123.01090811705669</v>
      </c>
    </row>
    <row r="82" spans="1:5" x14ac:dyDescent="0.3">
      <c r="A82" t="str">
        <f>TEXT(Table13[[#This Row],[Order_Date]],"mmm-yyyy")</f>
        <v>Feb-2024</v>
      </c>
      <c r="B82" s="6">
        <f>SUMIF(Orders!K:K,A82,Orders!E:E)</f>
        <v>63420.142</v>
      </c>
      <c r="C82" s="6">
        <f t="shared" si="5"/>
        <v>63420.142</v>
      </c>
      <c r="D82" s="6">
        <f t="shared" si="3"/>
        <v>0</v>
      </c>
      <c r="E82" s="6">
        <f t="shared" si="4"/>
        <v>0</v>
      </c>
    </row>
    <row r="83" spans="1:5" x14ac:dyDescent="0.3">
      <c r="A83" t="str">
        <f>TEXT(Table13[[#This Row],[Order_Date]],"mmm-yyyy")</f>
        <v>Mar-2024</v>
      </c>
      <c r="B83" s="6">
        <f>SUMIF(Orders!K:K,A83,Orders!E:E)</f>
        <v>57373.933500000006</v>
      </c>
      <c r="C83" s="6">
        <f t="shared" si="5"/>
        <v>63420.142</v>
      </c>
      <c r="D83" s="6">
        <f t="shared" si="3"/>
        <v>-6046.2084999999934</v>
      </c>
      <c r="E83" s="6">
        <f t="shared" si="4"/>
        <v>-9.5335776763161348</v>
      </c>
    </row>
    <row r="84" spans="1:5" x14ac:dyDescent="0.3">
      <c r="A84" t="str">
        <f>TEXT(Table13[[#This Row],[Order_Date]],"mmm-yyyy")</f>
        <v>May-2023</v>
      </c>
      <c r="B84" s="6">
        <f>SUMIF(Orders!K:K,A84,Orders!E:E)</f>
        <v>73563.426500000001</v>
      </c>
      <c r="C84" s="6">
        <f t="shared" si="5"/>
        <v>57373.933500000006</v>
      </c>
      <c r="D84" s="6">
        <f t="shared" si="3"/>
        <v>16189.492999999995</v>
      </c>
      <c r="E84" s="6">
        <f t="shared" si="4"/>
        <v>28.217505777253351</v>
      </c>
    </row>
    <row r="85" spans="1:5" x14ac:dyDescent="0.3">
      <c r="A85" t="str">
        <f>TEXT(Table13[[#This Row],[Order_Date]],"mmm-yyyy")</f>
        <v>May-2023</v>
      </c>
      <c r="B85" s="6">
        <f>SUMIF(Orders!K:K,A85,Orders!E:E)</f>
        <v>73563.426500000001</v>
      </c>
      <c r="C85" s="6">
        <f t="shared" si="5"/>
        <v>73563.426500000001</v>
      </c>
      <c r="D85" s="6">
        <f t="shared" si="3"/>
        <v>0</v>
      </c>
      <c r="E85" s="6">
        <f t="shared" si="4"/>
        <v>0</v>
      </c>
    </row>
    <row r="86" spans="1:5" x14ac:dyDescent="0.3">
      <c r="A86" t="str">
        <f>TEXT(Table13[[#This Row],[Order_Date]],"mmm-yyyy")</f>
        <v>May-2025</v>
      </c>
      <c r="B86" s="6">
        <f>SUMIF(Orders!K:K,A86,Orders!E:E)</f>
        <v>66561.381000000008</v>
      </c>
      <c r="C86" s="6">
        <f t="shared" si="5"/>
        <v>73563.426500000001</v>
      </c>
      <c r="D86" s="6">
        <f t="shared" si="3"/>
        <v>-7002.0454999999929</v>
      </c>
      <c r="E86" s="6">
        <f t="shared" si="4"/>
        <v>-9.5183786742179457</v>
      </c>
    </row>
    <row r="87" spans="1:5" x14ac:dyDescent="0.3">
      <c r="A87" t="str">
        <f>TEXT(Table13[[#This Row],[Order_Date]],"mmm-yyyy")</f>
        <v>Jul-2023</v>
      </c>
      <c r="B87" s="6">
        <f>SUMIF(Orders!K:K,A87,Orders!E:E)</f>
        <v>64908.902500000004</v>
      </c>
      <c r="C87" s="6">
        <f t="shared" si="5"/>
        <v>66561.381000000008</v>
      </c>
      <c r="D87" s="6">
        <f t="shared" si="3"/>
        <v>-1652.4785000000047</v>
      </c>
      <c r="E87" s="6">
        <f t="shared" si="4"/>
        <v>-2.4826385438126719</v>
      </c>
    </row>
    <row r="88" spans="1:5" x14ac:dyDescent="0.3">
      <c r="A88" t="str">
        <f>TEXT(Table13[[#This Row],[Order_Date]],"mmm-yyyy")</f>
        <v>May-2025</v>
      </c>
      <c r="B88" s="6">
        <f>SUMIF(Orders!K:K,A88,Orders!E:E)</f>
        <v>66561.381000000008</v>
      </c>
      <c r="C88" s="6">
        <f t="shared" si="5"/>
        <v>64908.902500000004</v>
      </c>
      <c r="D88" s="6">
        <f t="shared" si="3"/>
        <v>1652.4785000000047</v>
      </c>
      <c r="E88" s="6">
        <f t="shared" si="4"/>
        <v>2.5458426138078742</v>
      </c>
    </row>
    <row r="89" spans="1:5" x14ac:dyDescent="0.3">
      <c r="A89" t="str">
        <f>TEXT(Table13[[#This Row],[Order_Date]],"mmm-yyyy")</f>
        <v>Nov-2024</v>
      </c>
      <c r="B89" s="6">
        <f>SUMIF(Orders!K:K,A89,Orders!E:E)</f>
        <v>44725.173500000004</v>
      </c>
      <c r="C89" s="6">
        <f t="shared" si="5"/>
        <v>66561.381000000008</v>
      </c>
      <c r="D89" s="6">
        <f t="shared" si="3"/>
        <v>-21836.207500000004</v>
      </c>
      <c r="E89" s="6">
        <f t="shared" si="4"/>
        <v>-32.806121465538709</v>
      </c>
    </row>
    <row r="90" spans="1:5" x14ac:dyDescent="0.3">
      <c r="A90" t="str">
        <f>TEXT(Table13[[#This Row],[Order_Date]],"mmm-yyyy")</f>
        <v>Nov-2023</v>
      </c>
      <c r="B90" s="6">
        <f>SUMIF(Orders!K:K,A90,Orders!E:E)</f>
        <v>87862.09550000001</v>
      </c>
      <c r="C90" s="6">
        <f t="shared" si="5"/>
        <v>44725.173500000004</v>
      </c>
      <c r="D90" s="6">
        <f t="shared" si="3"/>
        <v>43136.922000000006</v>
      </c>
      <c r="E90" s="6">
        <f t="shared" si="4"/>
        <v>96.448864530396961</v>
      </c>
    </row>
    <row r="91" spans="1:5" x14ac:dyDescent="0.3">
      <c r="A91" t="str">
        <f>TEXT(Table13[[#This Row],[Order_Date]],"mmm-yyyy")</f>
        <v>Dec-2025</v>
      </c>
      <c r="B91" s="6">
        <f>SUMIF(Orders!K:K,A91,Orders!E:E)</f>
        <v>21403.976000000002</v>
      </c>
      <c r="C91" s="6">
        <f t="shared" si="5"/>
        <v>87862.09550000001</v>
      </c>
      <c r="D91" s="6">
        <f t="shared" si="3"/>
        <v>-66458.119500000001</v>
      </c>
      <c r="E91" s="6">
        <f t="shared" si="4"/>
        <v>-75.639124154510966</v>
      </c>
    </row>
    <row r="92" spans="1:5" x14ac:dyDescent="0.3">
      <c r="A92" t="str">
        <f>TEXT(Table13[[#This Row],[Order_Date]],"mmm-yyyy")</f>
        <v>Mar-2023</v>
      </c>
      <c r="B92" s="6">
        <f>SUMIF(Orders!K:K,A92,Orders!E:E)</f>
        <v>54243.0265</v>
      </c>
      <c r="C92" s="6">
        <f t="shared" si="5"/>
        <v>21403.976000000002</v>
      </c>
      <c r="D92" s="6">
        <f t="shared" si="3"/>
        <v>32839.050499999998</v>
      </c>
      <c r="E92" s="6">
        <f t="shared" si="4"/>
        <v>153.42500150439335</v>
      </c>
    </row>
    <row r="93" spans="1:5" x14ac:dyDescent="0.3">
      <c r="A93" t="str">
        <f>TEXT(Table13[[#This Row],[Order_Date]],"mmm-yyyy")</f>
        <v>Jan-2025</v>
      </c>
      <c r="B93" s="6">
        <f>SUMIF(Orders!K:K,A93,Orders!E:E)</f>
        <v>34546.360500000003</v>
      </c>
      <c r="C93" s="6">
        <f t="shared" si="5"/>
        <v>54243.0265</v>
      </c>
      <c r="D93" s="6">
        <f t="shared" si="3"/>
        <v>-19696.665999999997</v>
      </c>
      <c r="E93" s="6">
        <f t="shared" si="4"/>
        <v>-36.311886100234467</v>
      </c>
    </row>
    <row r="94" spans="1:5" x14ac:dyDescent="0.3">
      <c r="A94" t="str">
        <f>TEXT(Table13[[#This Row],[Order_Date]],"mmm-yyyy")</f>
        <v>Oct-2023</v>
      </c>
      <c r="B94" s="6">
        <f>SUMIF(Orders!K:K,A94,Orders!E:E)</f>
        <v>35673.451500000003</v>
      </c>
      <c r="C94" s="6">
        <f t="shared" si="5"/>
        <v>34546.360500000003</v>
      </c>
      <c r="D94" s="6">
        <f t="shared" si="3"/>
        <v>1127.0910000000003</v>
      </c>
      <c r="E94" s="6">
        <f t="shared" si="4"/>
        <v>3.2625462818290227</v>
      </c>
    </row>
    <row r="95" spans="1:5" x14ac:dyDescent="0.3">
      <c r="A95" t="str">
        <f>TEXT(Table13[[#This Row],[Order_Date]],"mmm-yyyy")</f>
        <v>Apr-2025</v>
      </c>
      <c r="B95" s="6">
        <f>SUMIF(Orders!K:K,A95,Orders!E:E)</f>
        <v>36156.792499999996</v>
      </c>
      <c r="C95" s="6">
        <f t="shared" si="5"/>
        <v>35673.451500000003</v>
      </c>
      <c r="D95" s="6">
        <f t="shared" si="3"/>
        <v>483.34099999999307</v>
      </c>
      <c r="E95" s="6">
        <f t="shared" si="4"/>
        <v>1.3549039402593075</v>
      </c>
    </row>
    <row r="96" spans="1:5" x14ac:dyDescent="0.3">
      <c r="A96" t="str">
        <f>TEXT(Table13[[#This Row],[Order_Date]],"mmm-yyyy")</f>
        <v>May-2025</v>
      </c>
      <c r="B96" s="6">
        <f>SUMIF(Orders!K:K,A96,Orders!E:E)</f>
        <v>66561.381000000008</v>
      </c>
      <c r="C96" s="6">
        <f t="shared" si="5"/>
        <v>36156.792499999996</v>
      </c>
      <c r="D96" s="6">
        <f t="shared" si="3"/>
        <v>30404.588500000013</v>
      </c>
      <c r="E96" s="6">
        <f t="shared" si="4"/>
        <v>84.090945013997072</v>
      </c>
    </row>
    <row r="97" spans="1:5" x14ac:dyDescent="0.3">
      <c r="A97" t="str">
        <f>TEXT(Table13[[#This Row],[Order_Date]],"mmm-yyyy")</f>
        <v>Apr-2024</v>
      </c>
      <c r="B97" s="6">
        <f>SUMIF(Orders!K:K,A97,Orders!E:E)</f>
        <v>36132.777000000002</v>
      </c>
      <c r="C97" s="6">
        <f t="shared" si="5"/>
        <v>66561.381000000008</v>
      </c>
      <c r="D97" s="6">
        <f t="shared" si="3"/>
        <v>-30428.604000000007</v>
      </c>
      <c r="E97" s="6">
        <f t="shared" si="4"/>
        <v>-45.715103176720447</v>
      </c>
    </row>
    <row r="98" spans="1:5" x14ac:dyDescent="0.3">
      <c r="A98" t="str">
        <f>TEXT(Table13[[#This Row],[Order_Date]],"mmm-yyyy")</f>
        <v>Jan-2025</v>
      </c>
      <c r="B98" s="6">
        <f>SUMIF(Orders!K:K,A98,Orders!E:E)</f>
        <v>34546.360500000003</v>
      </c>
      <c r="C98" s="6">
        <f t="shared" si="5"/>
        <v>36132.777000000002</v>
      </c>
      <c r="D98" s="6">
        <f t="shared" si="3"/>
        <v>-1586.4164999999994</v>
      </c>
      <c r="E98" s="6">
        <f t="shared" si="4"/>
        <v>-4.3905191676798028</v>
      </c>
    </row>
    <row r="99" spans="1:5" x14ac:dyDescent="0.3">
      <c r="A99" t="str">
        <f>TEXT(Table13[[#This Row],[Order_Date]],"mmm-yyyy")</f>
        <v>Mar-2025</v>
      </c>
      <c r="B99" s="6">
        <f>SUMIF(Orders!K:K,A99,Orders!E:E)</f>
        <v>68592.676000000007</v>
      </c>
      <c r="C99" s="6">
        <f t="shared" si="5"/>
        <v>34546.360500000003</v>
      </c>
      <c r="D99" s="6">
        <f t="shared" si="3"/>
        <v>34046.315500000004</v>
      </c>
      <c r="E99" s="6">
        <f t="shared" si="4"/>
        <v>98.552539275446975</v>
      </c>
    </row>
    <row r="100" spans="1:5" x14ac:dyDescent="0.3">
      <c r="A100" t="str">
        <f>TEXT(Table13[[#This Row],[Order_Date]],"mmm-yyyy")</f>
        <v>May-2024</v>
      </c>
      <c r="B100" s="6">
        <f>SUMIF(Orders!K:K,A100,Orders!E:E)</f>
        <v>161169.386</v>
      </c>
      <c r="C100" s="6">
        <f t="shared" si="5"/>
        <v>68592.676000000007</v>
      </c>
      <c r="D100" s="6">
        <f t="shared" si="3"/>
        <v>92576.709999999992</v>
      </c>
      <c r="E100" s="6">
        <f t="shared" si="4"/>
        <v>134.96588178014807</v>
      </c>
    </row>
    <row r="101" spans="1:5" x14ac:dyDescent="0.3">
      <c r="A101" t="str">
        <f>TEXT(Table13[[#This Row],[Order_Date]],"mmm-yyyy")</f>
        <v>Jul-2023</v>
      </c>
      <c r="B101" s="6">
        <f>SUMIF(Orders!K:K,A101,Orders!E:E)</f>
        <v>64908.902500000004</v>
      </c>
      <c r="C101" s="6">
        <f t="shared" si="5"/>
        <v>161169.386</v>
      </c>
      <c r="D101" s="6">
        <f t="shared" si="3"/>
        <v>-96260.483500000002</v>
      </c>
      <c r="E101" s="6">
        <f t="shared" si="4"/>
        <v>-59.726282943089458</v>
      </c>
    </row>
    <row r="102" spans="1:5" x14ac:dyDescent="0.3">
      <c r="A102" t="str">
        <f>TEXT(Table13[[#This Row],[Order_Date]],"mmm-yyyy")</f>
        <v>Mar-2024</v>
      </c>
      <c r="B102" s="6">
        <f>SUMIF(Orders!K:K,A102,Orders!E:E)</f>
        <v>57373.933500000006</v>
      </c>
      <c r="C102" s="6">
        <f t="shared" si="5"/>
        <v>64908.902500000004</v>
      </c>
      <c r="D102" s="6">
        <f t="shared" si="3"/>
        <v>-7534.9689999999973</v>
      </c>
      <c r="E102" s="6">
        <f t="shared" si="4"/>
        <v>-11.608529353889471</v>
      </c>
    </row>
    <row r="103" spans="1:5" x14ac:dyDescent="0.3">
      <c r="A103" t="str">
        <f>TEXT(Table13[[#This Row],[Order_Date]],"mmm-yyyy")</f>
        <v>May-2023</v>
      </c>
      <c r="B103" s="6">
        <f>SUMIF(Orders!K:K,A103,Orders!E:E)</f>
        <v>73563.426500000001</v>
      </c>
      <c r="C103" s="6">
        <f t="shared" si="5"/>
        <v>57373.933500000006</v>
      </c>
      <c r="D103" s="6">
        <f t="shared" si="3"/>
        <v>16189.492999999995</v>
      </c>
      <c r="E103" s="6">
        <f t="shared" si="4"/>
        <v>28.217505777253351</v>
      </c>
    </row>
    <row r="104" spans="1:5" x14ac:dyDescent="0.3">
      <c r="A104" t="str">
        <f>TEXT(Table13[[#This Row],[Order_Date]],"mmm-yyyy")</f>
        <v>Aug-2024</v>
      </c>
      <c r="B104" s="6">
        <f>SUMIF(Orders!K:K,A104,Orders!E:E)</f>
        <v>57205.100000000006</v>
      </c>
      <c r="C104" s="6">
        <f t="shared" si="5"/>
        <v>73563.426500000001</v>
      </c>
      <c r="D104" s="6">
        <f t="shared" si="3"/>
        <v>-16358.326499999996</v>
      </c>
      <c r="E104" s="6">
        <f t="shared" si="4"/>
        <v>-22.237037177706771</v>
      </c>
    </row>
    <row r="105" spans="1:5" x14ac:dyDescent="0.3">
      <c r="A105" t="str">
        <f>TEXT(Table13[[#This Row],[Order_Date]],"mmm-yyyy")</f>
        <v>Jul-2024</v>
      </c>
      <c r="B105" s="6">
        <f>SUMIF(Orders!K:K,A105,Orders!E:E)</f>
        <v>46499.452500000007</v>
      </c>
      <c r="C105" s="6">
        <f t="shared" si="5"/>
        <v>57205.100000000006</v>
      </c>
      <c r="D105" s="6">
        <f t="shared" si="3"/>
        <v>-10705.647499999999</v>
      </c>
      <c r="E105" s="6">
        <f t="shared" si="4"/>
        <v>-18.71449835766391</v>
      </c>
    </row>
    <row r="106" spans="1:5" x14ac:dyDescent="0.3">
      <c r="A106" t="str">
        <f>TEXT(Table13[[#This Row],[Order_Date]],"mmm-yyyy")</f>
        <v>Sep-2023</v>
      </c>
      <c r="B106" s="6">
        <f>SUMIF(Orders!K:K,A106,Orders!E:E)</f>
        <v>54431.520499999999</v>
      </c>
      <c r="C106" s="6">
        <f t="shared" si="5"/>
        <v>46499.452500000007</v>
      </c>
      <c r="D106" s="6">
        <f t="shared" si="3"/>
        <v>7932.067999999992</v>
      </c>
      <c r="E106" s="6">
        <f t="shared" si="4"/>
        <v>17.058411601727979</v>
      </c>
    </row>
    <row r="107" spans="1:5" x14ac:dyDescent="0.3">
      <c r="A107" t="str">
        <f>TEXT(Table13[[#This Row],[Order_Date]],"mmm-yyyy")</f>
        <v>Apr-2023</v>
      </c>
      <c r="B107" s="6">
        <f>SUMIF(Orders!K:K,A107,Orders!E:E)</f>
        <v>48464.652999999998</v>
      </c>
      <c r="C107" s="6">
        <f t="shared" si="5"/>
        <v>54431.520499999999</v>
      </c>
      <c r="D107" s="6">
        <f t="shared" si="3"/>
        <v>-5966.8675000000003</v>
      </c>
      <c r="E107" s="6">
        <f t="shared" si="4"/>
        <v>-10.962154731650386</v>
      </c>
    </row>
    <row r="108" spans="1:5" x14ac:dyDescent="0.3">
      <c r="A108" t="str">
        <f>TEXT(Table13[[#This Row],[Order_Date]],"mmm-yyyy")</f>
        <v>Sep-2025</v>
      </c>
      <c r="B108" s="6">
        <f>SUMIF(Orders!K:K,A108,Orders!E:E)</f>
        <v>8756.5400000000009</v>
      </c>
      <c r="C108" s="6">
        <f t="shared" si="5"/>
        <v>48464.652999999998</v>
      </c>
      <c r="D108" s="6">
        <f t="shared" si="3"/>
        <v>-39708.112999999998</v>
      </c>
      <c r="E108" s="6">
        <f t="shared" si="4"/>
        <v>-81.932110398066811</v>
      </c>
    </row>
    <row r="109" spans="1:5" x14ac:dyDescent="0.3">
      <c r="A109" t="str">
        <f>TEXT(Table13[[#This Row],[Order_Date]],"mmm-yyyy")</f>
        <v>Dec-2025</v>
      </c>
      <c r="B109" s="6">
        <f>SUMIF(Orders!K:K,A109,Orders!E:E)</f>
        <v>21403.976000000002</v>
      </c>
      <c r="C109" s="6">
        <f t="shared" si="5"/>
        <v>8756.5400000000009</v>
      </c>
      <c r="D109" s="6">
        <f t="shared" si="3"/>
        <v>12647.436000000002</v>
      </c>
      <c r="E109" s="6">
        <f t="shared" si="4"/>
        <v>144.43417148782513</v>
      </c>
    </row>
    <row r="110" spans="1:5" x14ac:dyDescent="0.3">
      <c r="A110" t="str">
        <f>TEXT(Table13[[#This Row],[Order_Date]],"mmm-yyyy")</f>
        <v>Jun-2024</v>
      </c>
      <c r="B110" s="6">
        <f>SUMIF(Orders!K:K,A110,Orders!E:E)</f>
        <v>28904.2945</v>
      </c>
      <c r="C110" s="6">
        <f t="shared" si="5"/>
        <v>21403.976000000002</v>
      </c>
      <c r="D110" s="6">
        <f t="shared" si="3"/>
        <v>7500.3184999999976</v>
      </c>
      <c r="E110" s="6">
        <f t="shared" si="4"/>
        <v>35.041706737103404</v>
      </c>
    </row>
    <row r="111" spans="1:5" x14ac:dyDescent="0.3">
      <c r="A111" t="str">
        <f>TEXT(Table13[[#This Row],[Order_Date]],"mmm-yyyy")</f>
        <v>Mar-2024</v>
      </c>
      <c r="B111" s="6">
        <f>SUMIF(Orders!K:K,A111,Orders!E:E)</f>
        <v>57373.933500000006</v>
      </c>
      <c r="C111" s="6">
        <f t="shared" si="5"/>
        <v>28904.2945</v>
      </c>
      <c r="D111" s="6">
        <f t="shared" si="3"/>
        <v>28469.639000000006</v>
      </c>
      <c r="E111" s="6">
        <f t="shared" si="4"/>
        <v>98.4962251889594</v>
      </c>
    </row>
    <row r="112" spans="1:5" x14ac:dyDescent="0.3">
      <c r="A112" t="str">
        <f>TEXT(Table13[[#This Row],[Order_Date]],"mmm-yyyy")</f>
        <v>Jul-2024</v>
      </c>
      <c r="B112" s="6">
        <f>SUMIF(Orders!K:K,A112,Orders!E:E)</f>
        <v>46499.452500000007</v>
      </c>
      <c r="C112" s="6">
        <f t="shared" si="5"/>
        <v>57373.933500000006</v>
      </c>
      <c r="D112" s="6">
        <f t="shared" si="3"/>
        <v>-10874.481</v>
      </c>
      <c r="E112" s="6">
        <f t="shared" si="4"/>
        <v>-18.953696106612593</v>
      </c>
    </row>
    <row r="113" spans="1:5" x14ac:dyDescent="0.3">
      <c r="A113" t="str">
        <f>TEXT(Table13[[#This Row],[Order_Date]],"mmm-yyyy")</f>
        <v>Mar-2024</v>
      </c>
      <c r="B113" s="6">
        <f>SUMIF(Orders!K:K,A113,Orders!E:E)</f>
        <v>57373.933500000006</v>
      </c>
      <c r="C113" s="6">
        <f t="shared" si="5"/>
        <v>46499.452500000007</v>
      </c>
      <c r="D113" s="6">
        <f t="shared" si="3"/>
        <v>10874.481</v>
      </c>
      <c r="E113" s="6">
        <f t="shared" si="4"/>
        <v>23.386255999465796</v>
      </c>
    </row>
    <row r="114" spans="1:5" x14ac:dyDescent="0.3">
      <c r="A114" t="str">
        <f>TEXT(Table13[[#This Row],[Order_Date]],"mmm-yyyy")</f>
        <v>Apr-2025</v>
      </c>
      <c r="B114" s="6">
        <f>SUMIF(Orders!K:K,A114,Orders!E:E)</f>
        <v>36156.792499999996</v>
      </c>
      <c r="C114" s="6">
        <f t="shared" si="5"/>
        <v>57373.933500000006</v>
      </c>
      <c r="D114" s="6">
        <f t="shared" si="3"/>
        <v>-21217.141000000011</v>
      </c>
      <c r="E114" s="6">
        <f t="shared" si="4"/>
        <v>-36.980453850179209</v>
      </c>
    </row>
    <row r="115" spans="1:5" x14ac:dyDescent="0.3">
      <c r="A115" t="str">
        <f>TEXT(Table13[[#This Row],[Order_Date]],"mmm-yyyy")</f>
        <v>Feb-2024</v>
      </c>
      <c r="B115" s="6">
        <f>SUMIF(Orders!K:K,A115,Orders!E:E)</f>
        <v>63420.142</v>
      </c>
      <c r="C115" s="6">
        <f t="shared" si="5"/>
        <v>36156.792499999996</v>
      </c>
      <c r="D115" s="6">
        <f t="shared" si="3"/>
        <v>27263.349500000004</v>
      </c>
      <c r="E115" s="6">
        <f t="shared" si="4"/>
        <v>75.403119621299396</v>
      </c>
    </row>
    <row r="116" spans="1:5" x14ac:dyDescent="0.3">
      <c r="A116" t="str">
        <f>TEXT(Table13[[#This Row],[Order_Date]],"mmm-yyyy")</f>
        <v>Jan-2024</v>
      </c>
      <c r="B116" s="6">
        <f>SUMIF(Orders!K:K,A116,Orders!E:E)</f>
        <v>63121.498000000007</v>
      </c>
      <c r="C116" s="6">
        <f t="shared" si="5"/>
        <v>63420.142</v>
      </c>
      <c r="D116" s="6">
        <f t="shared" si="3"/>
        <v>-298.64399999999296</v>
      </c>
      <c r="E116" s="6">
        <f t="shared" si="4"/>
        <v>-0.47089771574461781</v>
      </c>
    </row>
    <row r="117" spans="1:5" x14ac:dyDescent="0.3">
      <c r="A117" t="str">
        <f>TEXT(Table13[[#This Row],[Order_Date]],"mmm-yyyy")</f>
        <v>Apr-2025</v>
      </c>
      <c r="B117" s="6">
        <f>SUMIF(Orders!K:K,A117,Orders!E:E)</f>
        <v>36156.792499999996</v>
      </c>
      <c r="C117" s="6">
        <f t="shared" si="5"/>
        <v>63121.498000000007</v>
      </c>
      <c r="D117" s="6">
        <f t="shared" si="3"/>
        <v>-26964.705500000011</v>
      </c>
      <c r="E117" s="6">
        <f t="shared" si="4"/>
        <v>-42.71873506550812</v>
      </c>
    </row>
    <row r="118" spans="1:5" x14ac:dyDescent="0.3">
      <c r="A118" t="str">
        <f>TEXT(Table13[[#This Row],[Order_Date]],"mmm-yyyy")</f>
        <v>Apr-2025</v>
      </c>
      <c r="B118" s="6">
        <f>SUMIF(Orders!K:K,A118,Orders!E:E)</f>
        <v>36156.792499999996</v>
      </c>
      <c r="C118" s="6">
        <f t="shared" si="5"/>
        <v>36156.792499999996</v>
      </c>
      <c r="D118" s="6">
        <f t="shared" si="3"/>
        <v>0</v>
      </c>
      <c r="E118" s="6">
        <f t="shared" si="4"/>
        <v>0</v>
      </c>
    </row>
    <row r="119" spans="1:5" x14ac:dyDescent="0.3">
      <c r="A119" t="str">
        <f>TEXT(Table13[[#This Row],[Order_Date]],"mmm-yyyy")</f>
        <v>Nov-2024</v>
      </c>
      <c r="B119" s="6">
        <f>SUMIF(Orders!K:K,A119,Orders!E:E)</f>
        <v>44725.173500000004</v>
      </c>
      <c r="C119" s="6">
        <f t="shared" si="5"/>
        <v>36156.792499999996</v>
      </c>
      <c r="D119" s="6">
        <f t="shared" si="3"/>
        <v>8568.3810000000085</v>
      </c>
      <c r="E119" s="6">
        <f t="shared" si="4"/>
        <v>23.69784598564712</v>
      </c>
    </row>
    <row r="120" spans="1:5" x14ac:dyDescent="0.3">
      <c r="A120" t="str">
        <f>TEXT(Table13[[#This Row],[Order_Date]],"mmm-yyyy")</f>
        <v>Jan-2023</v>
      </c>
      <c r="B120" s="6">
        <f>SUMIF(Orders!K:K,A120,Orders!E:E)</f>
        <v>36342.019</v>
      </c>
      <c r="C120" s="6">
        <f t="shared" si="5"/>
        <v>44725.173500000004</v>
      </c>
      <c r="D120" s="6">
        <f t="shared" si="3"/>
        <v>-8383.1545000000042</v>
      </c>
      <c r="E120" s="6">
        <f t="shared" si="4"/>
        <v>-18.743704817601216</v>
      </c>
    </row>
    <row r="121" spans="1:5" x14ac:dyDescent="0.3">
      <c r="A121" t="str">
        <f>TEXT(Table13[[#This Row],[Order_Date]],"mmm-yyyy")</f>
        <v>Jun-2023</v>
      </c>
      <c r="B121" s="6">
        <f>SUMIF(Orders!K:K,A121,Orders!E:E)</f>
        <v>62271.799000000006</v>
      </c>
      <c r="C121" s="6">
        <f t="shared" si="5"/>
        <v>36342.019</v>
      </c>
      <c r="D121" s="6">
        <f t="shared" si="3"/>
        <v>25929.780000000006</v>
      </c>
      <c r="E121" s="6">
        <f t="shared" si="4"/>
        <v>71.349310559768313</v>
      </c>
    </row>
    <row r="122" spans="1:5" x14ac:dyDescent="0.3">
      <c r="A122" t="str">
        <f>TEXT(Table13[[#This Row],[Order_Date]],"mmm-yyyy")</f>
        <v>Jan-2024</v>
      </c>
      <c r="B122" s="6">
        <f>SUMIF(Orders!K:K,A122,Orders!E:E)</f>
        <v>63121.498000000007</v>
      </c>
      <c r="C122" s="6">
        <f t="shared" si="5"/>
        <v>62271.799000000006</v>
      </c>
      <c r="D122" s="6">
        <f t="shared" si="3"/>
        <v>849.69900000000052</v>
      </c>
      <c r="E122" s="6">
        <f t="shared" si="4"/>
        <v>1.3645004860065155</v>
      </c>
    </row>
    <row r="123" spans="1:5" x14ac:dyDescent="0.3">
      <c r="A123" t="str">
        <f>TEXT(Table13[[#This Row],[Order_Date]],"mmm-yyyy")</f>
        <v>Jul-2024</v>
      </c>
      <c r="B123" s="6">
        <f>SUMIF(Orders!K:K,A123,Orders!E:E)</f>
        <v>46499.452500000007</v>
      </c>
      <c r="C123" s="6">
        <f t="shared" si="5"/>
        <v>63121.498000000007</v>
      </c>
      <c r="D123" s="6">
        <f t="shared" si="3"/>
        <v>-16622.0455</v>
      </c>
      <c r="E123" s="6">
        <f t="shared" si="4"/>
        <v>-26.333414172141477</v>
      </c>
    </row>
    <row r="124" spans="1:5" x14ac:dyDescent="0.3">
      <c r="A124" t="str">
        <f>TEXT(Table13[[#This Row],[Order_Date]],"mmm-yyyy")</f>
        <v>Jan-2024</v>
      </c>
      <c r="B124" s="6">
        <f>SUMIF(Orders!K:K,A124,Orders!E:E)</f>
        <v>63121.498000000007</v>
      </c>
      <c r="C124" s="6">
        <f t="shared" si="5"/>
        <v>46499.452500000007</v>
      </c>
      <c r="D124" s="6">
        <f t="shared" si="3"/>
        <v>16622.0455</v>
      </c>
      <c r="E124" s="6">
        <f t="shared" si="4"/>
        <v>35.746755297817749</v>
      </c>
    </row>
    <row r="125" spans="1:5" x14ac:dyDescent="0.3">
      <c r="A125" t="str">
        <f>TEXT(Table13[[#This Row],[Order_Date]],"mmm-yyyy")</f>
        <v>Feb-2023</v>
      </c>
      <c r="B125" s="6">
        <f>SUMIF(Orders!K:K,A125,Orders!E:E)</f>
        <v>31599.2045</v>
      </c>
      <c r="C125" s="6">
        <f t="shared" si="5"/>
        <v>63121.498000000007</v>
      </c>
      <c r="D125" s="6">
        <f t="shared" si="3"/>
        <v>-31522.293500000007</v>
      </c>
      <c r="E125" s="6">
        <f t="shared" si="4"/>
        <v>-49.939077016201367</v>
      </c>
    </row>
    <row r="126" spans="1:5" x14ac:dyDescent="0.3">
      <c r="A126" t="str">
        <f>TEXT(Table13[[#This Row],[Order_Date]],"mmm-yyyy")</f>
        <v>Jun-2023</v>
      </c>
      <c r="B126" s="6">
        <f>SUMIF(Orders!K:K,A126,Orders!E:E)</f>
        <v>62271.799000000006</v>
      </c>
      <c r="C126" s="6">
        <f t="shared" si="5"/>
        <v>31599.2045</v>
      </c>
      <c r="D126" s="6">
        <f t="shared" si="3"/>
        <v>30672.594500000007</v>
      </c>
      <c r="E126" s="6">
        <f t="shared" si="4"/>
        <v>97.067616053435799</v>
      </c>
    </row>
    <row r="127" spans="1:5" x14ac:dyDescent="0.3">
      <c r="A127" t="str">
        <f>TEXT(Table13[[#This Row],[Order_Date]],"mmm-yyyy")</f>
        <v>May-2025</v>
      </c>
      <c r="B127" s="6">
        <f>SUMIF(Orders!K:K,A127,Orders!E:E)</f>
        <v>66561.381000000008</v>
      </c>
      <c r="C127" s="6">
        <f t="shared" si="5"/>
        <v>62271.799000000006</v>
      </c>
      <c r="D127" s="6">
        <f t="shared" si="3"/>
        <v>4289.5820000000022</v>
      </c>
      <c r="E127" s="6">
        <f t="shared" si="4"/>
        <v>6.8884825376572172</v>
      </c>
    </row>
    <row r="128" spans="1:5" x14ac:dyDescent="0.3">
      <c r="A128" t="str">
        <f>TEXT(Table13[[#This Row],[Order_Date]],"mmm-yyyy")</f>
        <v>Jul-2024</v>
      </c>
      <c r="B128" s="6">
        <f>SUMIF(Orders!K:K,A128,Orders!E:E)</f>
        <v>46499.452500000007</v>
      </c>
      <c r="C128" s="6">
        <f t="shared" si="5"/>
        <v>66561.381000000008</v>
      </c>
      <c r="D128" s="6">
        <f t="shared" si="3"/>
        <v>-20061.928500000002</v>
      </c>
      <c r="E128" s="6">
        <f t="shared" si="4"/>
        <v>-30.140493178769834</v>
      </c>
    </row>
    <row r="129" spans="1:5" x14ac:dyDescent="0.3">
      <c r="A129" t="str">
        <f>TEXT(Table13[[#This Row],[Order_Date]],"mmm-yyyy")</f>
        <v>Jul-2024</v>
      </c>
      <c r="B129" s="6">
        <f>SUMIF(Orders!K:K,A129,Orders!E:E)</f>
        <v>46499.452500000007</v>
      </c>
      <c r="C129" s="6">
        <f t="shared" si="5"/>
        <v>46499.452500000007</v>
      </c>
      <c r="D129" s="6">
        <f t="shared" si="3"/>
        <v>0</v>
      </c>
      <c r="E129" s="6">
        <f t="shared" si="4"/>
        <v>0</v>
      </c>
    </row>
    <row r="130" spans="1:5" x14ac:dyDescent="0.3">
      <c r="A130" t="str">
        <f>TEXT(Table13[[#This Row],[Order_Date]],"mmm-yyyy")</f>
        <v>Aug-2024</v>
      </c>
      <c r="B130" s="6">
        <f>SUMIF(Orders!K:K,A130,Orders!E:E)</f>
        <v>57205.100000000006</v>
      </c>
      <c r="C130" s="6">
        <f t="shared" si="5"/>
        <v>46499.452500000007</v>
      </c>
      <c r="D130" s="6">
        <f t="shared" si="3"/>
        <v>10705.647499999999</v>
      </c>
      <c r="E130" s="6">
        <f t="shared" si="4"/>
        <v>23.023168928709424</v>
      </c>
    </row>
    <row r="131" spans="1:5" x14ac:dyDescent="0.3">
      <c r="A131" t="str">
        <f>TEXT(Table13[[#This Row],[Order_Date]],"mmm-yyyy")</f>
        <v>Aug-2025</v>
      </c>
      <c r="B131" s="6">
        <f>SUMIF(Orders!K:K,A131,Orders!E:E)</f>
        <v>7924.0545000000002</v>
      </c>
      <c r="C131" s="6">
        <f t="shared" si="5"/>
        <v>57205.100000000006</v>
      </c>
      <c r="D131" s="6">
        <f t="shared" ref="D131:D194" si="6">B131-C131</f>
        <v>-49281.045500000007</v>
      </c>
      <c r="E131" s="6">
        <f t="shared" ref="E131:E194" si="7">IF(C131=0,0,(D131/C131)*100)</f>
        <v>-86.147992923707847</v>
      </c>
    </row>
    <row r="132" spans="1:5" x14ac:dyDescent="0.3">
      <c r="A132" t="str">
        <f>TEXT(Table13[[#This Row],[Order_Date]],"mmm-yyyy")</f>
        <v>May-2025</v>
      </c>
      <c r="B132" s="6">
        <f>SUMIF(Orders!K:K,A132,Orders!E:E)</f>
        <v>66561.381000000008</v>
      </c>
      <c r="C132" s="6">
        <f t="shared" ref="C132:C195" si="8">B131</f>
        <v>7924.0545000000002</v>
      </c>
      <c r="D132" s="6">
        <f t="shared" si="6"/>
        <v>58637.32650000001</v>
      </c>
      <c r="E132" s="6">
        <f t="shared" si="7"/>
        <v>739.99145891790636</v>
      </c>
    </row>
    <row r="133" spans="1:5" x14ac:dyDescent="0.3">
      <c r="A133" t="str">
        <f>TEXT(Table13[[#This Row],[Order_Date]],"mmm-yyyy")</f>
        <v>Jul-2024</v>
      </c>
      <c r="B133" s="6">
        <f>SUMIF(Orders!K:K,A133,Orders!E:E)</f>
        <v>46499.452500000007</v>
      </c>
      <c r="C133" s="6">
        <f t="shared" si="8"/>
        <v>66561.381000000008</v>
      </c>
      <c r="D133" s="6">
        <f t="shared" si="6"/>
        <v>-20061.928500000002</v>
      </c>
      <c r="E133" s="6">
        <f t="shared" si="7"/>
        <v>-30.140493178769834</v>
      </c>
    </row>
    <row r="134" spans="1:5" x14ac:dyDescent="0.3">
      <c r="A134" t="str">
        <f>TEXT(Table13[[#This Row],[Order_Date]],"mmm-yyyy")</f>
        <v>Sep-2023</v>
      </c>
      <c r="B134" s="6">
        <f>SUMIF(Orders!K:K,A134,Orders!E:E)</f>
        <v>54431.520499999999</v>
      </c>
      <c r="C134" s="6">
        <f t="shared" si="8"/>
        <v>46499.452500000007</v>
      </c>
      <c r="D134" s="6">
        <f t="shared" si="6"/>
        <v>7932.067999999992</v>
      </c>
      <c r="E134" s="6">
        <f t="shared" si="7"/>
        <v>17.058411601727979</v>
      </c>
    </row>
    <row r="135" spans="1:5" x14ac:dyDescent="0.3">
      <c r="A135" t="str">
        <f>TEXT(Table13[[#This Row],[Order_Date]],"mmm-yyyy")</f>
        <v>Mar-2023</v>
      </c>
      <c r="B135" s="6">
        <f>SUMIF(Orders!K:K,A135,Orders!E:E)</f>
        <v>54243.0265</v>
      </c>
      <c r="C135" s="6">
        <f t="shared" si="8"/>
        <v>54431.520499999999</v>
      </c>
      <c r="D135" s="6">
        <f t="shared" si="6"/>
        <v>-188.49399999999878</v>
      </c>
      <c r="E135" s="6">
        <f t="shared" si="7"/>
        <v>-0.34629567255979704</v>
      </c>
    </row>
    <row r="136" spans="1:5" x14ac:dyDescent="0.3">
      <c r="A136" t="str">
        <f>TEXT(Table13[[#This Row],[Order_Date]],"mmm-yyyy")</f>
        <v>Mar-2023</v>
      </c>
      <c r="B136" s="6">
        <f>SUMIF(Orders!K:K,A136,Orders!E:E)</f>
        <v>54243.0265</v>
      </c>
      <c r="C136" s="6">
        <f t="shared" si="8"/>
        <v>54243.0265</v>
      </c>
      <c r="D136" s="6">
        <f t="shared" si="6"/>
        <v>0</v>
      </c>
      <c r="E136" s="6">
        <f t="shared" si="7"/>
        <v>0</v>
      </c>
    </row>
    <row r="137" spans="1:5" x14ac:dyDescent="0.3">
      <c r="A137" t="str">
        <f>TEXT(Table13[[#This Row],[Order_Date]],"mmm-yyyy")</f>
        <v>Jul-2023</v>
      </c>
      <c r="B137" s="6">
        <f>SUMIF(Orders!K:K,A137,Orders!E:E)</f>
        <v>64908.902500000004</v>
      </c>
      <c r="C137" s="6">
        <f t="shared" si="8"/>
        <v>54243.0265</v>
      </c>
      <c r="D137" s="6">
        <f t="shared" si="6"/>
        <v>10665.876000000004</v>
      </c>
      <c r="E137" s="6">
        <f t="shared" si="7"/>
        <v>19.663128494498743</v>
      </c>
    </row>
    <row r="138" spans="1:5" x14ac:dyDescent="0.3">
      <c r="A138" t="str">
        <f>TEXT(Table13[[#This Row],[Order_Date]],"mmm-yyyy")</f>
        <v>Mar-2024</v>
      </c>
      <c r="B138" s="6">
        <f>SUMIF(Orders!K:K,A138,Orders!E:E)</f>
        <v>57373.933500000006</v>
      </c>
      <c r="C138" s="6">
        <f t="shared" si="8"/>
        <v>64908.902500000004</v>
      </c>
      <c r="D138" s="6">
        <f t="shared" si="6"/>
        <v>-7534.9689999999973</v>
      </c>
      <c r="E138" s="6">
        <f t="shared" si="7"/>
        <v>-11.608529353889471</v>
      </c>
    </row>
    <row r="139" spans="1:5" x14ac:dyDescent="0.3">
      <c r="A139" t="str">
        <f>TEXT(Table13[[#This Row],[Order_Date]],"mmm-yyyy")</f>
        <v>May-2024</v>
      </c>
      <c r="B139" s="6">
        <f>SUMIF(Orders!K:K,A139,Orders!E:E)</f>
        <v>161169.386</v>
      </c>
      <c r="C139" s="6">
        <f t="shared" si="8"/>
        <v>57373.933500000006</v>
      </c>
      <c r="D139" s="6">
        <f t="shared" si="6"/>
        <v>103795.45249999998</v>
      </c>
      <c r="E139" s="6">
        <f t="shared" si="7"/>
        <v>180.91046956018795</v>
      </c>
    </row>
    <row r="140" spans="1:5" x14ac:dyDescent="0.3">
      <c r="A140" t="str">
        <f>TEXT(Table13[[#This Row],[Order_Date]],"mmm-yyyy")</f>
        <v>May-2023</v>
      </c>
      <c r="B140" s="6">
        <f>SUMIF(Orders!K:K,A140,Orders!E:E)</f>
        <v>73563.426500000001</v>
      </c>
      <c r="C140" s="6">
        <f t="shared" si="8"/>
        <v>161169.386</v>
      </c>
      <c r="D140" s="6">
        <f t="shared" si="6"/>
        <v>-87605.959499999997</v>
      </c>
      <c r="E140" s="6">
        <f t="shared" si="7"/>
        <v>-54.356451727128871</v>
      </c>
    </row>
    <row r="141" spans="1:5" x14ac:dyDescent="0.3">
      <c r="A141" t="str">
        <f>TEXT(Table13[[#This Row],[Order_Date]],"mmm-yyyy")</f>
        <v>Mar-2023</v>
      </c>
      <c r="B141" s="6">
        <f>SUMIF(Orders!K:K,A141,Orders!E:E)</f>
        <v>54243.0265</v>
      </c>
      <c r="C141" s="6">
        <f t="shared" si="8"/>
        <v>73563.426500000001</v>
      </c>
      <c r="D141" s="6">
        <f t="shared" si="6"/>
        <v>-19320.400000000001</v>
      </c>
      <c r="E141" s="6">
        <f t="shared" si="7"/>
        <v>-26.263594450701671</v>
      </c>
    </row>
    <row r="142" spans="1:5" x14ac:dyDescent="0.3">
      <c r="A142" t="str">
        <f>TEXT(Table13[[#This Row],[Order_Date]],"mmm-yyyy")</f>
        <v>Sep-2023</v>
      </c>
      <c r="B142" s="6">
        <f>SUMIF(Orders!K:K,A142,Orders!E:E)</f>
        <v>54431.520499999999</v>
      </c>
      <c r="C142" s="6">
        <f t="shared" si="8"/>
        <v>54243.0265</v>
      </c>
      <c r="D142" s="6">
        <f t="shared" si="6"/>
        <v>188.49399999999878</v>
      </c>
      <c r="E142" s="6">
        <f t="shared" si="7"/>
        <v>0.34749904672077764</v>
      </c>
    </row>
    <row r="143" spans="1:5" x14ac:dyDescent="0.3">
      <c r="A143" t="str">
        <f>TEXT(Table13[[#This Row],[Order_Date]],"mmm-yyyy")</f>
        <v>Oct-2024</v>
      </c>
      <c r="B143" s="6">
        <f>SUMIF(Orders!K:K,A143,Orders!E:E)</f>
        <v>78501.203500000003</v>
      </c>
      <c r="C143" s="6">
        <f t="shared" si="8"/>
        <v>54431.520499999999</v>
      </c>
      <c r="D143" s="6">
        <f t="shared" si="6"/>
        <v>24069.683000000005</v>
      </c>
      <c r="E143" s="6">
        <f t="shared" si="7"/>
        <v>44.220118745350881</v>
      </c>
    </row>
    <row r="144" spans="1:5" x14ac:dyDescent="0.3">
      <c r="A144" t="str">
        <f>TEXT(Table13[[#This Row],[Order_Date]],"mmm-yyyy")</f>
        <v>Feb-2025</v>
      </c>
      <c r="B144" s="6">
        <f>SUMIF(Orders!K:K,A144,Orders!E:E)</f>
        <v>43736.824500000002</v>
      </c>
      <c r="C144" s="6">
        <f t="shared" si="8"/>
        <v>78501.203500000003</v>
      </c>
      <c r="D144" s="6">
        <f t="shared" si="6"/>
        <v>-34764.379000000001</v>
      </c>
      <c r="E144" s="6">
        <f t="shared" si="7"/>
        <v>-44.285154176012092</v>
      </c>
    </row>
    <row r="145" spans="1:5" x14ac:dyDescent="0.3">
      <c r="A145" t="str">
        <f>TEXT(Table13[[#This Row],[Order_Date]],"mmm-yyyy")</f>
        <v>Nov-2025</v>
      </c>
      <c r="B145" s="6">
        <f>SUMIF(Orders!K:K,A145,Orders!E:E)</f>
        <v>10592.798500000001</v>
      </c>
      <c r="C145" s="6">
        <f t="shared" si="8"/>
        <v>43736.824500000002</v>
      </c>
      <c r="D145" s="6">
        <f t="shared" si="6"/>
        <v>-33144.025999999998</v>
      </c>
      <c r="E145" s="6">
        <f t="shared" si="7"/>
        <v>-75.78059536535396</v>
      </c>
    </row>
    <row r="146" spans="1:5" x14ac:dyDescent="0.3">
      <c r="A146" t="str">
        <f>TEXT(Table13[[#This Row],[Order_Date]],"mmm-yyyy")</f>
        <v>Apr-2024</v>
      </c>
      <c r="B146" s="6">
        <f>SUMIF(Orders!K:K,A146,Orders!E:E)</f>
        <v>36132.777000000002</v>
      </c>
      <c r="C146" s="6">
        <f t="shared" si="8"/>
        <v>10592.798500000001</v>
      </c>
      <c r="D146" s="6">
        <f t="shared" si="6"/>
        <v>25539.978500000001</v>
      </c>
      <c r="E146" s="6">
        <f t="shared" si="7"/>
        <v>241.10699830644373</v>
      </c>
    </row>
    <row r="147" spans="1:5" x14ac:dyDescent="0.3">
      <c r="A147" t="str">
        <f>TEXT(Table13[[#This Row],[Order_Date]],"mmm-yyyy")</f>
        <v>Mar-2023</v>
      </c>
      <c r="B147" s="6">
        <f>SUMIF(Orders!K:K,A147,Orders!E:E)</f>
        <v>54243.0265</v>
      </c>
      <c r="C147" s="6">
        <f t="shared" si="8"/>
        <v>36132.777000000002</v>
      </c>
      <c r="D147" s="6">
        <f t="shared" si="6"/>
        <v>18110.249499999998</v>
      </c>
      <c r="E147" s="6">
        <f t="shared" si="7"/>
        <v>50.121388400343534</v>
      </c>
    </row>
    <row r="148" spans="1:5" x14ac:dyDescent="0.3">
      <c r="A148" t="str">
        <f>TEXT(Table13[[#This Row],[Order_Date]],"mmm-yyyy")</f>
        <v>Dec-2024</v>
      </c>
      <c r="B148" s="6">
        <f>SUMIF(Orders!K:K,A148,Orders!E:E)</f>
        <v>27646.277000000002</v>
      </c>
      <c r="C148" s="6">
        <f t="shared" si="8"/>
        <v>54243.0265</v>
      </c>
      <c r="D148" s="6">
        <f t="shared" si="6"/>
        <v>-26596.749499999998</v>
      </c>
      <c r="E148" s="6">
        <f t="shared" si="7"/>
        <v>-49.032569191175199</v>
      </c>
    </row>
    <row r="149" spans="1:5" x14ac:dyDescent="0.3">
      <c r="A149" t="str">
        <f>TEXT(Table13[[#This Row],[Order_Date]],"mmm-yyyy")</f>
        <v>Apr-2023</v>
      </c>
      <c r="B149" s="6">
        <f>SUMIF(Orders!K:K,A149,Orders!E:E)</f>
        <v>48464.652999999998</v>
      </c>
      <c r="C149" s="6">
        <f t="shared" si="8"/>
        <v>27646.277000000002</v>
      </c>
      <c r="D149" s="6">
        <f t="shared" si="6"/>
        <v>20818.375999999997</v>
      </c>
      <c r="E149" s="6">
        <f t="shared" si="7"/>
        <v>75.302638398653073</v>
      </c>
    </row>
    <row r="150" spans="1:5" x14ac:dyDescent="0.3">
      <c r="A150" t="str">
        <f>TEXT(Table13[[#This Row],[Order_Date]],"mmm-yyyy")</f>
        <v>Nov-2025</v>
      </c>
      <c r="B150" s="6">
        <f>SUMIF(Orders!K:K,A150,Orders!E:E)</f>
        <v>10592.798500000001</v>
      </c>
      <c r="C150" s="6">
        <f t="shared" si="8"/>
        <v>48464.652999999998</v>
      </c>
      <c r="D150" s="6">
        <f t="shared" si="6"/>
        <v>-37871.854500000001</v>
      </c>
      <c r="E150" s="6">
        <f t="shared" si="7"/>
        <v>-78.143249060299681</v>
      </c>
    </row>
    <row r="151" spans="1:5" x14ac:dyDescent="0.3">
      <c r="A151" t="str">
        <f>TEXT(Table13[[#This Row],[Order_Date]],"mmm-yyyy")</f>
        <v>Mar-2024</v>
      </c>
      <c r="B151" s="6">
        <f>SUMIF(Orders!K:K,A151,Orders!E:E)</f>
        <v>57373.933500000006</v>
      </c>
      <c r="C151" s="6">
        <f t="shared" si="8"/>
        <v>10592.798500000001</v>
      </c>
      <c r="D151" s="6">
        <f t="shared" si="6"/>
        <v>46781.135000000009</v>
      </c>
      <c r="E151" s="6">
        <f t="shared" si="7"/>
        <v>441.63150087297521</v>
      </c>
    </row>
    <row r="152" spans="1:5" x14ac:dyDescent="0.3">
      <c r="A152" t="str">
        <f>TEXT(Table13[[#This Row],[Order_Date]],"mmm-yyyy")</f>
        <v>Jan-2025</v>
      </c>
      <c r="B152" s="6">
        <f>SUMIF(Orders!K:K,A152,Orders!E:E)</f>
        <v>34546.360500000003</v>
      </c>
      <c r="C152" s="6">
        <f t="shared" si="8"/>
        <v>57373.933500000006</v>
      </c>
      <c r="D152" s="6">
        <f t="shared" si="6"/>
        <v>-22827.573000000004</v>
      </c>
      <c r="E152" s="6">
        <f t="shared" si="7"/>
        <v>-39.787359184637396</v>
      </c>
    </row>
    <row r="153" spans="1:5" x14ac:dyDescent="0.3">
      <c r="A153" t="str">
        <f>TEXT(Table13[[#This Row],[Order_Date]],"mmm-yyyy")</f>
        <v>Mar-2025</v>
      </c>
      <c r="B153" s="6">
        <f>SUMIF(Orders!K:K,A153,Orders!E:E)</f>
        <v>68592.676000000007</v>
      </c>
      <c r="C153" s="6">
        <f t="shared" si="8"/>
        <v>34546.360500000003</v>
      </c>
      <c r="D153" s="6">
        <f t="shared" si="6"/>
        <v>34046.315500000004</v>
      </c>
      <c r="E153" s="6">
        <f t="shared" si="7"/>
        <v>98.552539275446975</v>
      </c>
    </row>
    <row r="154" spans="1:5" x14ac:dyDescent="0.3">
      <c r="A154" t="str">
        <f>TEXT(Table13[[#This Row],[Order_Date]],"mmm-yyyy")</f>
        <v>Mar-2025</v>
      </c>
      <c r="B154" s="6">
        <f>SUMIF(Orders!K:K,A154,Orders!E:E)</f>
        <v>68592.676000000007</v>
      </c>
      <c r="C154" s="6">
        <f t="shared" si="8"/>
        <v>68592.676000000007</v>
      </c>
      <c r="D154" s="6">
        <f t="shared" si="6"/>
        <v>0</v>
      </c>
      <c r="E154" s="6">
        <f t="shared" si="7"/>
        <v>0</v>
      </c>
    </row>
    <row r="155" spans="1:5" x14ac:dyDescent="0.3">
      <c r="A155" t="str">
        <f>TEXT(Table13[[#This Row],[Order_Date]],"mmm-yyyy")</f>
        <v>Feb-2025</v>
      </c>
      <c r="B155" s="6">
        <f>SUMIF(Orders!K:K,A155,Orders!E:E)</f>
        <v>43736.824500000002</v>
      </c>
      <c r="C155" s="6">
        <f t="shared" si="8"/>
        <v>68592.676000000007</v>
      </c>
      <c r="D155" s="6">
        <f t="shared" si="6"/>
        <v>-24855.851500000004</v>
      </c>
      <c r="E155" s="6">
        <f t="shared" si="7"/>
        <v>-36.236888468967152</v>
      </c>
    </row>
    <row r="156" spans="1:5" x14ac:dyDescent="0.3">
      <c r="A156" t="str">
        <f>TEXT(Table13[[#This Row],[Order_Date]],"mmm-yyyy")</f>
        <v>Aug-2024</v>
      </c>
      <c r="B156" s="6">
        <f>SUMIF(Orders!K:K,A156,Orders!E:E)</f>
        <v>57205.100000000006</v>
      </c>
      <c r="C156" s="6">
        <f t="shared" si="8"/>
        <v>43736.824500000002</v>
      </c>
      <c r="D156" s="6">
        <f t="shared" si="6"/>
        <v>13468.275500000003</v>
      </c>
      <c r="E156" s="6">
        <f t="shared" si="7"/>
        <v>30.79390343027762</v>
      </c>
    </row>
    <row r="157" spans="1:5" x14ac:dyDescent="0.3">
      <c r="A157" t="str">
        <f>TEXT(Table13[[#This Row],[Order_Date]],"mmm-yyyy")</f>
        <v>Mar-2024</v>
      </c>
      <c r="B157" s="6">
        <f>SUMIF(Orders!K:K,A157,Orders!E:E)</f>
        <v>57373.933500000006</v>
      </c>
      <c r="C157" s="6">
        <f t="shared" si="8"/>
        <v>57205.100000000006</v>
      </c>
      <c r="D157" s="6">
        <f t="shared" si="6"/>
        <v>168.83350000000064</v>
      </c>
      <c r="E157" s="6">
        <f t="shared" si="7"/>
        <v>0.29513714686278081</v>
      </c>
    </row>
    <row r="158" spans="1:5" x14ac:dyDescent="0.3">
      <c r="A158" t="str">
        <f>TEXT(Table13[[#This Row],[Order_Date]],"mmm-yyyy")</f>
        <v>Aug-2023</v>
      </c>
      <c r="B158" s="6">
        <f>SUMIF(Orders!K:K,A158,Orders!E:E)</f>
        <v>58411.780999999995</v>
      </c>
      <c r="C158" s="6">
        <f t="shared" si="8"/>
        <v>57373.933500000006</v>
      </c>
      <c r="D158" s="6">
        <f t="shared" si="6"/>
        <v>1037.8474999999889</v>
      </c>
      <c r="E158" s="6">
        <f t="shared" si="7"/>
        <v>1.8089181561867094</v>
      </c>
    </row>
    <row r="159" spans="1:5" x14ac:dyDescent="0.3">
      <c r="A159" t="str">
        <f>TEXT(Table13[[#This Row],[Order_Date]],"mmm-yyyy")</f>
        <v>Jun-2023</v>
      </c>
      <c r="B159" s="6">
        <f>SUMIF(Orders!K:K,A159,Orders!E:E)</f>
        <v>62271.799000000006</v>
      </c>
      <c r="C159" s="6">
        <f t="shared" si="8"/>
        <v>58411.780999999995</v>
      </c>
      <c r="D159" s="6">
        <f t="shared" si="6"/>
        <v>3860.0180000000109</v>
      </c>
      <c r="E159" s="6">
        <f t="shared" si="7"/>
        <v>6.6082867769431841</v>
      </c>
    </row>
    <row r="160" spans="1:5" x14ac:dyDescent="0.3">
      <c r="A160" t="str">
        <f>TEXT(Table13[[#This Row],[Order_Date]],"mmm-yyyy")</f>
        <v>Feb-2024</v>
      </c>
      <c r="B160" s="6">
        <f>SUMIF(Orders!K:K,A160,Orders!E:E)</f>
        <v>63420.142</v>
      </c>
      <c r="C160" s="6">
        <f t="shared" si="8"/>
        <v>62271.799000000006</v>
      </c>
      <c r="D160" s="6">
        <f t="shared" si="6"/>
        <v>1148.3429999999935</v>
      </c>
      <c r="E160" s="6">
        <f t="shared" si="7"/>
        <v>1.8440819414900691</v>
      </c>
    </row>
    <row r="161" spans="1:5" x14ac:dyDescent="0.3">
      <c r="A161" t="str">
        <f>TEXT(Table13[[#This Row],[Order_Date]],"mmm-yyyy")</f>
        <v>Oct-2024</v>
      </c>
      <c r="B161" s="6">
        <f>SUMIF(Orders!K:K,A161,Orders!E:E)</f>
        <v>78501.203500000003</v>
      </c>
      <c r="C161" s="6">
        <f t="shared" si="8"/>
        <v>63420.142</v>
      </c>
      <c r="D161" s="6">
        <f t="shared" si="6"/>
        <v>15081.061500000003</v>
      </c>
      <c r="E161" s="6">
        <f t="shared" si="7"/>
        <v>23.779608535092848</v>
      </c>
    </row>
    <row r="162" spans="1:5" x14ac:dyDescent="0.3">
      <c r="A162" t="str">
        <f>TEXT(Table13[[#This Row],[Order_Date]],"mmm-yyyy")</f>
        <v>May-2023</v>
      </c>
      <c r="B162" s="6">
        <f>SUMIF(Orders!K:K,A162,Orders!E:E)</f>
        <v>73563.426500000001</v>
      </c>
      <c r="C162" s="6">
        <f t="shared" si="8"/>
        <v>78501.203500000003</v>
      </c>
      <c r="D162" s="6">
        <f t="shared" si="6"/>
        <v>-4937.7770000000019</v>
      </c>
      <c r="E162" s="6">
        <f t="shared" si="7"/>
        <v>-6.2900653491255092</v>
      </c>
    </row>
    <row r="163" spans="1:5" x14ac:dyDescent="0.3">
      <c r="A163" t="str">
        <f>TEXT(Table13[[#This Row],[Order_Date]],"mmm-yyyy")</f>
        <v>Nov-2023</v>
      </c>
      <c r="B163" s="6">
        <f>SUMIF(Orders!K:K,A163,Orders!E:E)</f>
        <v>87862.09550000001</v>
      </c>
      <c r="C163" s="6">
        <f t="shared" si="8"/>
        <v>73563.426500000001</v>
      </c>
      <c r="D163" s="6">
        <f t="shared" si="6"/>
        <v>14298.669000000009</v>
      </c>
      <c r="E163" s="6">
        <f t="shared" si="7"/>
        <v>19.437198184345057</v>
      </c>
    </row>
    <row r="164" spans="1:5" x14ac:dyDescent="0.3">
      <c r="A164" t="str">
        <f>TEXT(Table13[[#This Row],[Order_Date]],"mmm-yyyy")</f>
        <v>Aug-2024</v>
      </c>
      <c r="B164" s="6">
        <f>SUMIF(Orders!K:K,A164,Orders!E:E)</f>
        <v>57205.100000000006</v>
      </c>
      <c r="C164" s="6">
        <f t="shared" si="8"/>
        <v>87862.09550000001</v>
      </c>
      <c r="D164" s="6">
        <f t="shared" si="6"/>
        <v>-30656.995500000005</v>
      </c>
      <c r="E164" s="6">
        <f t="shared" si="7"/>
        <v>-34.892174293748781</v>
      </c>
    </row>
    <row r="165" spans="1:5" x14ac:dyDescent="0.3">
      <c r="A165" t="str">
        <f>TEXT(Table13[[#This Row],[Order_Date]],"mmm-yyyy")</f>
        <v>Feb-2024</v>
      </c>
      <c r="B165" s="6">
        <f>SUMIF(Orders!K:K,A165,Orders!E:E)</f>
        <v>63420.142</v>
      </c>
      <c r="C165" s="6">
        <f t="shared" si="8"/>
        <v>57205.100000000006</v>
      </c>
      <c r="D165" s="6">
        <f t="shared" si="6"/>
        <v>6215.041999999994</v>
      </c>
      <c r="E165" s="6">
        <f t="shared" si="7"/>
        <v>10.864489354970088</v>
      </c>
    </row>
    <row r="166" spans="1:5" x14ac:dyDescent="0.3">
      <c r="A166" t="str">
        <f>TEXT(Table13[[#This Row],[Order_Date]],"mmm-yyyy")</f>
        <v>Jan-2024</v>
      </c>
      <c r="B166" s="6">
        <f>SUMIF(Orders!K:K,A166,Orders!E:E)</f>
        <v>63121.498000000007</v>
      </c>
      <c r="C166" s="6">
        <f t="shared" si="8"/>
        <v>63420.142</v>
      </c>
      <c r="D166" s="6">
        <f t="shared" si="6"/>
        <v>-298.64399999999296</v>
      </c>
      <c r="E166" s="6">
        <f t="shared" si="7"/>
        <v>-0.47089771574461781</v>
      </c>
    </row>
    <row r="167" spans="1:5" x14ac:dyDescent="0.3">
      <c r="A167" t="str">
        <f>TEXT(Table13[[#This Row],[Order_Date]],"mmm-yyyy")</f>
        <v>Jan-2024</v>
      </c>
      <c r="B167" s="6">
        <f>SUMIF(Orders!K:K,A167,Orders!E:E)</f>
        <v>63121.498000000007</v>
      </c>
      <c r="C167" s="6">
        <f t="shared" si="8"/>
        <v>63121.498000000007</v>
      </c>
      <c r="D167" s="6">
        <f t="shared" si="6"/>
        <v>0</v>
      </c>
      <c r="E167" s="6">
        <f t="shared" si="7"/>
        <v>0</v>
      </c>
    </row>
    <row r="168" spans="1:5" x14ac:dyDescent="0.3">
      <c r="A168" t="str">
        <f>TEXT(Table13[[#This Row],[Order_Date]],"mmm-yyyy")</f>
        <v>May-2023</v>
      </c>
      <c r="B168" s="6">
        <f>SUMIF(Orders!K:K,A168,Orders!E:E)</f>
        <v>73563.426500000001</v>
      </c>
      <c r="C168" s="6">
        <f t="shared" si="8"/>
        <v>63121.498000000007</v>
      </c>
      <c r="D168" s="6">
        <f t="shared" si="6"/>
        <v>10441.928499999995</v>
      </c>
      <c r="E168" s="6">
        <f t="shared" si="7"/>
        <v>16.542586647737657</v>
      </c>
    </row>
    <row r="169" spans="1:5" x14ac:dyDescent="0.3">
      <c r="A169" t="str">
        <f>TEXT(Table13[[#This Row],[Order_Date]],"mmm-yyyy")</f>
        <v>Dec-2023</v>
      </c>
      <c r="B169" s="6">
        <f>SUMIF(Orders!K:K,A169,Orders!E:E)</f>
        <v>28438.1345</v>
      </c>
      <c r="C169" s="6">
        <f t="shared" si="8"/>
        <v>73563.426500000001</v>
      </c>
      <c r="D169" s="6">
        <f t="shared" si="6"/>
        <v>-45125.292000000001</v>
      </c>
      <c r="E169" s="6">
        <f t="shared" si="7"/>
        <v>-61.342020276883105</v>
      </c>
    </row>
    <row r="170" spans="1:5" x14ac:dyDescent="0.3">
      <c r="A170" t="str">
        <f>TEXT(Table13[[#This Row],[Order_Date]],"mmm-yyyy")</f>
        <v>May-2023</v>
      </c>
      <c r="B170" s="6">
        <f>SUMIF(Orders!K:K,A170,Orders!E:E)</f>
        <v>73563.426500000001</v>
      </c>
      <c r="C170" s="6">
        <f t="shared" si="8"/>
        <v>28438.1345</v>
      </c>
      <c r="D170" s="6">
        <f t="shared" si="6"/>
        <v>45125.292000000001</v>
      </c>
      <c r="E170" s="6">
        <f t="shared" si="7"/>
        <v>158.67880503905769</v>
      </c>
    </row>
    <row r="171" spans="1:5" x14ac:dyDescent="0.3">
      <c r="A171" t="str">
        <f>TEXT(Table13[[#This Row],[Order_Date]],"mmm-yyyy")</f>
        <v>Jun-2025</v>
      </c>
      <c r="B171" s="6">
        <f>SUMIF(Orders!K:K,A171,Orders!E:E)</f>
        <v>28111.332999999999</v>
      </c>
      <c r="C171" s="6">
        <f t="shared" si="8"/>
        <v>73563.426500000001</v>
      </c>
      <c r="D171" s="6">
        <f t="shared" si="6"/>
        <v>-45452.093500000003</v>
      </c>
      <c r="E171" s="6">
        <f t="shared" si="7"/>
        <v>-61.786264809184765</v>
      </c>
    </row>
    <row r="172" spans="1:5" x14ac:dyDescent="0.3">
      <c r="A172" t="str">
        <f>TEXT(Table13[[#This Row],[Order_Date]],"mmm-yyyy")</f>
        <v>Dec-2025</v>
      </c>
      <c r="B172" s="6">
        <f>SUMIF(Orders!K:K,A172,Orders!E:E)</f>
        <v>21403.976000000002</v>
      </c>
      <c r="C172" s="6">
        <f t="shared" si="8"/>
        <v>28111.332999999999</v>
      </c>
      <c r="D172" s="6">
        <f t="shared" si="6"/>
        <v>-6707.3569999999963</v>
      </c>
      <c r="E172" s="6">
        <f t="shared" si="7"/>
        <v>-23.859974907628878</v>
      </c>
    </row>
    <row r="173" spans="1:5" x14ac:dyDescent="0.3">
      <c r="A173" t="str">
        <f>TEXT(Table13[[#This Row],[Order_Date]],"mmm-yyyy")</f>
        <v>Mar-2024</v>
      </c>
      <c r="B173" s="6">
        <f>SUMIF(Orders!K:K,A173,Orders!E:E)</f>
        <v>57373.933500000006</v>
      </c>
      <c r="C173" s="6">
        <f t="shared" si="8"/>
        <v>21403.976000000002</v>
      </c>
      <c r="D173" s="6">
        <f t="shared" si="6"/>
        <v>35969.957500000004</v>
      </c>
      <c r="E173" s="6">
        <f t="shared" si="7"/>
        <v>168.05269030389493</v>
      </c>
    </row>
    <row r="174" spans="1:5" x14ac:dyDescent="0.3">
      <c r="A174" t="str">
        <f>TEXT(Table13[[#This Row],[Order_Date]],"mmm-yyyy")</f>
        <v>Mar-2023</v>
      </c>
      <c r="B174" s="6">
        <f>SUMIF(Orders!K:K,A174,Orders!E:E)</f>
        <v>54243.0265</v>
      </c>
      <c r="C174" s="6">
        <f t="shared" si="8"/>
        <v>57373.933500000006</v>
      </c>
      <c r="D174" s="6">
        <f t="shared" si="6"/>
        <v>-3130.9070000000065</v>
      </c>
      <c r="E174" s="6">
        <f t="shared" si="7"/>
        <v>-5.4570199548894553</v>
      </c>
    </row>
    <row r="175" spans="1:5" x14ac:dyDescent="0.3">
      <c r="A175" t="str">
        <f>TEXT(Table13[[#This Row],[Order_Date]],"mmm-yyyy")</f>
        <v>Jan-2024</v>
      </c>
      <c r="B175" s="6">
        <f>SUMIF(Orders!K:K,A175,Orders!E:E)</f>
        <v>63121.498000000007</v>
      </c>
      <c r="C175" s="6">
        <f t="shared" si="8"/>
        <v>54243.0265</v>
      </c>
      <c r="D175" s="6">
        <f t="shared" si="6"/>
        <v>8878.4715000000069</v>
      </c>
      <c r="E175" s="6">
        <f t="shared" si="7"/>
        <v>16.367950081103988</v>
      </c>
    </row>
    <row r="176" spans="1:5" x14ac:dyDescent="0.3">
      <c r="A176" t="str">
        <f>TEXT(Table13[[#This Row],[Order_Date]],"mmm-yyyy")</f>
        <v>May-2023</v>
      </c>
      <c r="B176" s="6">
        <f>SUMIF(Orders!K:K,A176,Orders!E:E)</f>
        <v>73563.426500000001</v>
      </c>
      <c r="C176" s="6">
        <f t="shared" si="8"/>
        <v>63121.498000000007</v>
      </c>
      <c r="D176" s="6">
        <f t="shared" si="6"/>
        <v>10441.928499999995</v>
      </c>
      <c r="E176" s="6">
        <f t="shared" si="7"/>
        <v>16.542586647737657</v>
      </c>
    </row>
    <row r="177" spans="1:5" x14ac:dyDescent="0.3">
      <c r="A177" t="str">
        <f>TEXT(Table13[[#This Row],[Order_Date]],"mmm-yyyy")</f>
        <v>Jun-2025</v>
      </c>
      <c r="B177" s="6">
        <f>SUMIF(Orders!K:K,A177,Orders!E:E)</f>
        <v>28111.332999999999</v>
      </c>
      <c r="C177" s="6">
        <f t="shared" si="8"/>
        <v>73563.426500000001</v>
      </c>
      <c r="D177" s="6">
        <f t="shared" si="6"/>
        <v>-45452.093500000003</v>
      </c>
      <c r="E177" s="6">
        <f t="shared" si="7"/>
        <v>-61.786264809184765</v>
      </c>
    </row>
    <row r="178" spans="1:5" x14ac:dyDescent="0.3">
      <c r="A178" t="str">
        <f>TEXT(Table13[[#This Row],[Order_Date]],"mmm-yyyy")</f>
        <v>Oct-2023</v>
      </c>
      <c r="B178" s="6">
        <f>SUMIF(Orders!K:K,A178,Orders!E:E)</f>
        <v>35673.451500000003</v>
      </c>
      <c r="C178" s="6">
        <f t="shared" si="8"/>
        <v>28111.332999999999</v>
      </c>
      <c r="D178" s="6">
        <f t="shared" si="6"/>
        <v>7562.1185000000041</v>
      </c>
      <c r="E178" s="6">
        <f t="shared" si="7"/>
        <v>26.900604464398768</v>
      </c>
    </row>
    <row r="179" spans="1:5" x14ac:dyDescent="0.3">
      <c r="A179" t="str">
        <f>TEXT(Table13[[#This Row],[Order_Date]],"mmm-yyyy")</f>
        <v>Apr-2025</v>
      </c>
      <c r="B179" s="6">
        <f>SUMIF(Orders!K:K,A179,Orders!E:E)</f>
        <v>36156.792499999996</v>
      </c>
      <c r="C179" s="6">
        <f t="shared" si="8"/>
        <v>35673.451500000003</v>
      </c>
      <c r="D179" s="6">
        <f t="shared" si="6"/>
        <v>483.34099999999307</v>
      </c>
      <c r="E179" s="6">
        <f t="shared" si="7"/>
        <v>1.3549039402593075</v>
      </c>
    </row>
    <row r="180" spans="1:5" x14ac:dyDescent="0.3">
      <c r="A180" t="str">
        <f>TEXT(Table13[[#This Row],[Order_Date]],"mmm-yyyy")</f>
        <v>Nov-2024</v>
      </c>
      <c r="B180" s="6">
        <f>SUMIF(Orders!K:K,A180,Orders!E:E)</f>
        <v>44725.173500000004</v>
      </c>
      <c r="C180" s="6">
        <f t="shared" si="8"/>
        <v>36156.792499999996</v>
      </c>
      <c r="D180" s="6">
        <f t="shared" si="6"/>
        <v>8568.3810000000085</v>
      </c>
      <c r="E180" s="6">
        <f t="shared" si="7"/>
        <v>23.69784598564712</v>
      </c>
    </row>
    <row r="181" spans="1:5" x14ac:dyDescent="0.3">
      <c r="A181" t="str">
        <f>TEXT(Table13[[#This Row],[Order_Date]],"mmm-yyyy")</f>
        <v>Aug-2024</v>
      </c>
      <c r="B181" s="6">
        <f>SUMIF(Orders!K:K,A181,Orders!E:E)</f>
        <v>57205.100000000006</v>
      </c>
      <c r="C181" s="6">
        <f t="shared" si="8"/>
        <v>44725.173500000004</v>
      </c>
      <c r="D181" s="6">
        <f t="shared" si="6"/>
        <v>12479.926500000001</v>
      </c>
      <c r="E181" s="6">
        <f t="shared" si="7"/>
        <v>27.903584320360437</v>
      </c>
    </row>
    <row r="182" spans="1:5" x14ac:dyDescent="0.3">
      <c r="A182" t="str">
        <f>TEXT(Table13[[#This Row],[Order_Date]],"mmm-yyyy")</f>
        <v>Jun-2025</v>
      </c>
      <c r="B182" s="6">
        <f>SUMIF(Orders!K:K,A182,Orders!E:E)</f>
        <v>28111.332999999999</v>
      </c>
      <c r="C182" s="6">
        <f t="shared" si="8"/>
        <v>57205.100000000006</v>
      </c>
      <c r="D182" s="6">
        <f t="shared" si="6"/>
        <v>-29093.767000000007</v>
      </c>
      <c r="E182" s="6">
        <f t="shared" si="7"/>
        <v>-50.858694417106179</v>
      </c>
    </row>
    <row r="183" spans="1:5" x14ac:dyDescent="0.3">
      <c r="A183" t="str">
        <f>TEXT(Table13[[#This Row],[Order_Date]],"mmm-yyyy")</f>
        <v>Jun-2024</v>
      </c>
      <c r="B183" s="6">
        <f>SUMIF(Orders!K:K,A183,Orders!E:E)</f>
        <v>28904.2945</v>
      </c>
      <c r="C183" s="6">
        <f t="shared" si="8"/>
        <v>28111.332999999999</v>
      </c>
      <c r="D183" s="6">
        <f t="shared" si="6"/>
        <v>792.96150000000125</v>
      </c>
      <c r="E183" s="6">
        <f t="shared" si="7"/>
        <v>2.8207893947967579</v>
      </c>
    </row>
    <row r="184" spans="1:5" x14ac:dyDescent="0.3">
      <c r="A184" t="str">
        <f>TEXT(Table13[[#This Row],[Order_Date]],"mmm-yyyy")</f>
        <v>Jan-2025</v>
      </c>
      <c r="B184" s="6">
        <f>SUMIF(Orders!K:K,A184,Orders!E:E)</f>
        <v>34546.360500000003</v>
      </c>
      <c r="C184" s="6">
        <f t="shared" si="8"/>
        <v>28904.2945</v>
      </c>
      <c r="D184" s="6">
        <f t="shared" si="6"/>
        <v>5642.0660000000025</v>
      </c>
      <c r="E184" s="6">
        <f t="shared" si="7"/>
        <v>19.519819105081435</v>
      </c>
    </row>
    <row r="185" spans="1:5" x14ac:dyDescent="0.3">
      <c r="A185" t="str">
        <f>TEXT(Table13[[#This Row],[Order_Date]],"mmm-yyyy")</f>
        <v>Jan-2024</v>
      </c>
      <c r="B185" s="6">
        <f>SUMIF(Orders!K:K,A185,Orders!E:E)</f>
        <v>63121.498000000007</v>
      </c>
      <c r="C185" s="6">
        <f t="shared" si="8"/>
        <v>34546.360500000003</v>
      </c>
      <c r="D185" s="6">
        <f t="shared" si="6"/>
        <v>28575.137500000004</v>
      </c>
      <c r="E185" s="6">
        <f t="shared" si="7"/>
        <v>82.715334079837447</v>
      </c>
    </row>
    <row r="186" spans="1:5" x14ac:dyDescent="0.3">
      <c r="A186" t="str">
        <f>TEXT(Table13[[#This Row],[Order_Date]],"mmm-yyyy")</f>
        <v>Sep-2023</v>
      </c>
      <c r="B186" s="6">
        <f>SUMIF(Orders!K:K,A186,Orders!E:E)</f>
        <v>54431.520499999999</v>
      </c>
      <c r="C186" s="6">
        <f t="shared" si="8"/>
        <v>63121.498000000007</v>
      </c>
      <c r="D186" s="6">
        <f t="shared" si="6"/>
        <v>-8689.9775000000081</v>
      </c>
      <c r="E186" s="6">
        <f t="shared" si="7"/>
        <v>-13.76706474868516</v>
      </c>
    </row>
    <row r="187" spans="1:5" x14ac:dyDescent="0.3">
      <c r="A187" t="str">
        <f>TEXT(Table13[[#This Row],[Order_Date]],"mmm-yyyy")</f>
        <v>Jun-2023</v>
      </c>
      <c r="B187" s="6">
        <f>SUMIF(Orders!K:K,A187,Orders!E:E)</f>
        <v>62271.799000000006</v>
      </c>
      <c r="C187" s="6">
        <f t="shared" si="8"/>
        <v>54431.520499999999</v>
      </c>
      <c r="D187" s="6">
        <f t="shared" si="6"/>
        <v>7840.2785000000076</v>
      </c>
      <c r="E187" s="6">
        <f t="shared" si="7"/>
        <v>14.403930715108368</v>
      </c>
    </row>
    <row r="188" spans="1:5" x14ac:dyDescent="0.3">
      <c r="A188" t="str">
        <f>TEXT(Table13[[#This Row],[Order_Date]],"mmm-yyyy")</f>
        <v>Jul-2023</v>
      </c>
      <c r="B188" s="6">
        <f>SUMIF(Orders!K:K,A188,Orders!E:E)</f>
        <v>64908.902500000004</v>
      </c>
      <c r="C188" s="6">
        <f t="shared" si="8"/>
        <v>62271.799000000006</v>
      </c>
      <c r="D188" s="6">
        <f t="shared" si="6"/>
        <v>2637.1034999999974</v>
      </c>
      <c r="E188" s="6">
        <f t="shared" si="7"/>
        <v>4.2348278712808618</v>
      </c>
    </row>
    <row r="189" spans="1:5" x14ac:dyDescent="0.3">
      <c r="A189" t="str">
        <f>TEXT(Table13[[#This Row],[Order_Date]],"mmm-yyyy")</f>
        <v>Aug-2023</v>
      </c>
      <c r="B189" s="6">
        <f>SUMIF(Orders!K:K,A189,Orders!E:E)</f>
        <v>58411.780999999995</v>
      </c>
      <c r="C189" s="6">
        <f t="shared" si="8"/>
        <v>64908.902500000004</v>
      </c>
      <c r="D189" s="6">
        <f t="shared" si="6"/>
        <v>-6497.1215000000084</v>
      </c>
      <c r="E189" s="6">
        <f t="shared" si="7"/>
        <v>-10.009599992851532</v>
      </c>
    </row>
    <row r="190" spans="1:5" x14ac:dyDescent="0.3">
      <c r="A190" t="str">
        <f>TEXT(Table13[[#This Row],[Order_Date]],"mmm-yyyy")</f>
        <v>Jun-2024</v>
      </c>
      <c r="B190" s="6">
        <f>SUMIF(Orders!K:K,A190,Orders!E:E)</f>
        <v>28904.2945</v>
      </c>
      <c r="C190" s="6">
        <f t="shared" si="8"/>
        <v>58411.780999999995</v>
      </c>
      <c r="D190" s="6">
        <f t="shared" si="6"/>
        <v>-29507.486499999995</v>
      </c>
      <c r="E190" s="6">
        <f t="shared" si="7"/>
        <v>-50.516327348416233</v>
      </c>
    </row>
    <row r="191" spans="1:5" x14ac:dyDescent="0.3">
      <c r="A191" t="str">
        <f>TEXT(Table13[[#This Row],[Order_Date]],"mmm-yyyy")</f>
        <v>Apr-2024</v>
      </c>
      <c r="B191" s="6">
        <f>SUMIF(Orders!K:K,A191,Orders!E:E)</f>
        <v>36132.777000000002</v>
      </c>
      <c r="C191" s="6">
        <f t="shared" si="8"/>
        <v>28904.2945</v>
      </c>
      <c r="D191" s="6">
        <f t="shared" si="6"/>
        <v>7228.4825000000019</v>
      </c>
      <c r="E191" s="6">
        <f t="shared" si="7"/>
        <v>25.00833396919618</v>
      </c>
    </row>
    <row r="192" spans="1:5" x14ac:dyDescent="0.3">
      <c r="A192" t="str">
        <f>TEXT(Table13[[#This Row],[Order_Date]],"mmm-yyyy")</f>
        <v>Nov-2023</v>
      </c>
      <c r="B192" s="6">
        <f>SUMIF(Orders!K:K,A192,Orders!E:E)</f>
        <v>87862.09550000001</v>
      </c>
      <c r="C192" s="6">
        <f t="shared" si="8"/>
        <v>36132.777000000002</v>
      </c>
      <c r="D192" s="6">
        <f t="shared" si="6"/>
        <v>51729.318500000008</v>
      </c>
      <c r="E192" s="6">
        <f t="shared" si="7"/>
        <v>143.16452483018398</v>
      </c>
    </row>
    <row r="193" spans="1:5" x14ac:dyDescent="0.3">
      <c r="A193" t="str">
        <f>TEXT(Table13[[#This Row],[Order_Date]],"mmm-yyyy")</f>
        <v>Mar-2025</v>
      </c>
      <c r="B193" s="6">
        <f>SUMIF(Orders!K:K,A193,Orders!E:E)</f>
        <v>68592.676000000007</v>
      </c>
      <c r="C193" s="6">
        <f t="shared" si="8"/>
        <v>87862.09550000001</v>
      </c>
      <c r="D193" s="6">
        <f t="shared" si="6"/>
        <v>-19269.419500000004</v>
      </c>
      <c r="E193" s="6">
        <f t="shared" si="7"/>
        <v>-21.931436292684371</v>
      </c>
    </row>
    <row r="194" spans="1:5" x14ac:dyDescent="0.3">
      <c r="A194" t="str">
        <f>TEXT(Table13[[#This Row],[Order_Date]],"mmm-yyyy")</f>
        <v>Jun-2023</v>
      </c>
      <c r="B194" s="6">
        <f>SUMIF(Orders!K:K,A194,Orders!E:E)</f>
        <v>62271.799000000006</v>
      </c>
      <c r="C194" s="6">
        <f t="shared" si="8"/>
        <v>68592.676000000007</v>
      </c>
      <c r="D194" s="6">
        <f t="shared" si="6"/>
        <v>-6320.8770000000004</v>
      </c>
      <c r="E194" s="6">
        <f t="shared" si="7"/>
        <v>-9.2150902524928462</v>
      </c>
    </row>
    <row r="195" spans="1:5" x14ac:dyDescent="0.3">
      <c r="A195" t="str">
        <f>TEXT(Table13[[#This Row],[Order_Date]],"mmm-yyyy")</f>
        <v>Dec-2024</v>
      </c>
      <c r="B195" s="6">
        <f>SUMIF(Orders!K:K,A195,Orders!E:E)</f>
        <v>27646.277000000002</v>
      </c>
      <c r="C195" s="6">
        <f t="shared" si="8"/>
        <v>62271.799000000006</v>
      </c>
      <c r="D195" s="6">
        <f t="shared" ref="D195:D258" si="9">B195-C195</f>
        <v>-34625.522000000004</v>
      </c>
      <c r="E195" s="6">
        <f t="shared" ref="E195:E258" si="10">IF(C195=0,0,(D195/C195)*100)</f>
        <v>-55.603856891945583</v>
      </c>
    </row>
    <row r="196" spans="1:5" x14ac:dyDescent="0.3">
      <c r="A196" t="str">
        <f>TEXT(Table13[[#This Row],[Order_Date]],"mmm-yyyy")</f>
        <v>Jan-2025</v>
      </c>
      <c r="B196" s="6">
        <f>SUMIF(Orders!K:K,A196,Orders!E:E)</f>
        <v>34546.360500000003</v>
      </c>
      <c r="C196" s="6">
        <f t="shared" ref="C196:C259" si="11">B195</f>
        <v>27646.277000000002</v>
      </c>
      <c r="D196" s="6">
        <f t="shared" si="9"/>
        <v>6900.0835000000006</v>
      </c>
      <c r="E196" s="6">
        <f t="shared" si="10"/>
        <v>24.958454623022117</v>
      </c>
    </row>
    <row r="197" spans="1:5" x14ac:dyDescent="0.3">
      <c r="A197" t="str">
        <f>TEXT(Table13[[#This Row],[Order_Date]],"mmm-yyyy")</f>
        <v>Nov-2023</v>
      </c>
      <c r="B197" s="6">
        <f>SUMIF(Orders!K:K,A197,Orders!E:E)</f>
        <v>87862.09550000001</v>
      </c>
      <c r="C197" s="6">
        <f t="shared" si="11"/>
        <v>34546.360500000003</v>
      </c>
      <c r="D197" s="6">
        <f t="shared" si="9"/>
        <v>53315.735000000008</v>
      </c>
      <c r="E197" s="6">
        <f t="shared" si="10"/>
        <v>154.33097503860068</v>
      </c>
    </row>
    <row r="198" spans="1:5" x14ac:dyDescent="0.3">
      <c r="A198" t="str">
        <f>TEXT(Table13[[#This Row],[Order_Date]],"mmm-yyyy")</f>
        <v>Feb-2023</v>
      </c>
      <c r="B198" s="6">
        <f>SUMIF(Orders!K:K,A198,Orders!E:E)</f>
        <v>31599.2045</v>
      </c>
      <c r="C198" s="6">
        <f t="shared" si="11"/>
        <v>87862.09550000001</v>
      </c>
      <c r="D198" s="6">
        <f t="shared" si="9"/>
        <v>-56262.891000000011</v>
      </c>
      <c r="E198" s="6">
        <f t="shared" si="10"/>
        <v>-64.035453149418686</v>
      </c>
    </row>
    <row r="199" spans="1:5" x14ac:dyDescent="0.3">
      <c r="A199" t="str">
        <f>TEXT(Table13[[#This Row],[Order_Date]],"mmm-yyyy")</f>
        <v>Feb-2025</v>
      </c>
      <c r="B199" s="6">
        <f>SUMIF(Orders!K:K,A199,Orders!E:E)</f>
        <v>43736.824500000002</v>
      </c>
      <c r="C199" s="6">
        <f t="shared" si="11"/>
        <v>31599.2045</v>
      </c>
      <c r="D199" s="6">
        <f t="shared" si="9"/>
        <v>12137.620000000003</v>
      </c>
      <c r="E199" s="6">
        <f t="shared" si="10"/>
        <v>38.411156837824834</v>
      </c>
    </row>
    <row r="200" spans="1:5" x14ac:dyDescent="0.3">
      <c r="A200" t="str">
        <f>TEXT(Table13[[#This Row],[Order_Date]],"mmm-yyyy")</f>
        <v>Nov-2023</v>
      </c>
      <c r="B200" s="6">
        <f>SUMIF(Orders!K:K,A200,Orders!E:E)</f>
        <v>87862.09550000001</v>
      </c>
      <c r="C200" s="6">
        <f t="shared" si="11"/>
        <v>43736.824500000002</v>
      </c>
      <c r="D200" s="6">
        <f t="shared" si="9"/>
        <v>44125.271000000008</v>
      </c>
      <c r="E200" s="6">
        <f t="shared" si="10"/>
        <v>100.88814518301392</v>
      </c>
    </row>
    <row r="201" spans="1:5" x14ac:dyDescent="0.3">
      <c r="A201" t="str">
        <f>TEXT(Table13[[#This Row],[Order_Date]],"mmm-yyyy")</f>
        <v>Aug-2024</v>
      </c>
      <c r="B201" s="6">
        <f>SUMIF(Orders!K:K,A201,Orders!E:E)</f>
        <v>57205.100000000006</v>
      </c>
      <c r="C201" s="6">
        <f t="shared" si="11"/>
        <v>87862.09550000001</v>
      </c>
      <c r="D201" s="6">
        <f t="shared" si="9"/>
        <v>-30656.995500000005</v>
      </c>
      <c r="E201" s="6">
        <f t="shared" si="10"/>
        <v>-34.892174293748781</v>
      </c>
    </row>
    <row r="202" spans="1:5" x14ac:dyDescent="0.3">
      <c r="A202" t="str">
        <f>TEXT(Table13[[#This Row],[Order_Date]],"mmm-yyyy")</f>
        <v>Aug-2023</v>
      </c>
      <c r="B202" s="6">
        <f>SUMIF(Orders!K:K,A202,Orders!E:E)</f>
        <v>58411.780999999995</v>
      </c>
      <c r="C202" s="6">
        <f t="shared" si="11"/>
        <v>57205.100000000006</v>
      </c>
      <c r="D202" s="6">
        <f t="shared" si="9"/>
        <v>1206.6809999999896</v>
      </c>
      <c r="E202" s="6">
        <f t="shared" si="10"/>
        <v>2.1093940924847425</v>
      </c>
    </row>
    <row r="203" spans="1:5" x14ac:dyDescent="0.3">
      <c r="A203" t="str">
        <f>TEXT(Table13[[#This Row],[Order_Date]],"mmm-yyyy")</f>
        <v>Sep-2024</v>
      </c>
      <c r="B203" s="6">
        <f>SUMIF(Orders!K:K,A203,Orders!E:E)</f>
        <v>34965.875500000002</v>
      </c>
      <c r="C203" s="6">
        <f t="shared" si="11"/>
        <v>58411.780999999995</v>
      </c>
      <c r="D203" s="6">
        <f t="shared" si="9"/>
        <v>-23445.905499999993</v>
      </c>
      <c r="E203" s="6">
        <f t="shared" si="10"/>
        <v>-40.139001240177898</v>
      </c>
    </row>
    <row r="204" spans="1:5" x14ac:dyDescent="0.3">
      <c r="A204" t="str">
        <f>TEXT(Table13[[#This Row],[Order_Date]],"mmm-yyyy")</f>
        <v>Aug-2023</v>
      </c>
      <c r="B204" s="6">
        <f>SUMIF(Orders!K:K,A204,Orders!E:E)</f>
        <v>58411.780999999995</v>
      </c>
      <c r="C204" s="6">
        <f t="shared" si="11"/>
        <v>34965.875500000002</v>
      </c>
      <c r="D204" s="6">
        <f t="shared" si="9"/>
        <v>23445.905499999993</v>
      </c>
      <c r="E204" s="6">
        <f t="shared" si="10"/>
        <v>67.053677806523083</v>
      </c>
    </row>
    <row r="205" spans="1:5" x14ac:dyDescent="0.3">
      <c r="A205" t="str">
        <f>TEXT(Table13[[#This Row],[Order_Date]],"mmm-yyyy")</f>
        <v>Feb-2024</v>
      </c>
      <c r="B205" s="6">
        <f>SUMIF(Orders!K:K,A205,Orders!E:E)</f>
        <v>63420.142</v>
      </c>
      <c r="C205" s="6">
        <f t="shared" si="11"/>
        <v>58411.780999999995</v>
      </c>
      <c r="D205" s="6">
        <f t="shared" si="9"/>
        <v>5008.3610000000044</v>
      </c>
      <c r="E205" s="6">
        <f t="shared" si="10"/>
        <v>8.5742309415287394</v>
      </c>
    </row>
    <row r="206" spans="1:5" x14ac:dyDescent="0.3">
      <c r="A206" t="str">
        <f>TEXT(Table13[[#This Row],[Order_Date]],"mmm-yyyy")</f>
        <v>Jun-2025</v>
      </c>
      <c r="B206" s="6">
        <f>SUMIF(Orders!K:K,A206,Orders!E:E)</f>
        <v>28111.332999999999</v>
      </c>
      <c r="C206" s="6">
        <f t="shared" si="11"/>
        <v>63420.142</v>
      </c>
      <c r="D206" s="6">
        <f t="shared" si="9"/>
        <v>-35308.809000000001</v>
      </c>
      <c r="E206" s="6">
        <f t="shared" si="10"/>
        <v>-55.674440148683367</v>
      </c>
    </row>
    <row r="207" spans="1:5" x14ac:dyDescent="0.3">
      <c r="A207" t="str">
        <f>TEXT(Table13[[#This Row],[Order_Date]],"mmm-yyyy")</f>
        <v>Feb-2025</v>
      </c>
      <c r="B207" s="6">
        <f>SUMIF(Orders!K:K,A207,Orders!E:E)</f>
        <v>43736.824500000002</v>
      </c>
      <c r="C207" s="6">
        <f t="shared" si="11"/>
        <v>28111.332999999999</v>
      </c>
      <c r="D207" s="6">
        <f t="shared" si="9"/>
        <v>15625.491500000004</v>
      </c>
      <c r="E207" s="6">
        <f t="shared" si="10"/>
        <v>55.584313628955286</v>
      </c>
    </row>
    <row r="208" spans="1:5" x14ac:dyDescent="0.3">
      <c r="A208" t="str">
        <f>TEXT(Table13[[#This Row],[Order_Date]],"mmm-yyyy")</f>
        <v>Apr-2023</v>
      </c>
      <c r="B208" s="6">
        <f>SUMIF(Orders!K:K,A208,Orders!E:E)</f>
        <v>48464.652999999998</v>
      </c>
      <c r="C208" s="6">
        <f t="shared" si="11"/>
        <v>43736.824500000002</v>
      </c>
      <c r="D208" s="6">
        <f t="shared" si="9"/>
        <v>4727.828499999996</v>
      </c>
      <c r="E208" s="6">
        <f t="shared" si="10"/>
        <v>10.809720536524081</v>
      </c>
    </row>
    <row r="209" spans="1:5" x14ac:dyDescent="0.3">
      <c r="A209" t="str">
        <f>TEXT(Table13[[#This Row],[Order_Date]],"mmm-yyyy")</f>
        <v>Jul-2024</v>
      </c>
      <c r="B209" s="6">
        <f>SUMIF(Orders!K:K,A209,Orders!E:E)</f>
        <v>46499.452500000007</v>
      </c>
      <c r="C209" s="6">
        <f t="shared" si="11"/>
        <v>48464.652999999998</v>
      </c>
      <c r="D209" s="6">
        <f t="shared" si="9"/>
        <v>-1965.2004999999917</v>
      </c>
      <c r="E209" s="6">
        <f t="shared" si="10"/>
        <v>-4.0549150326114818</v>
      </c>
    </row>
    <row r="210" spans="1:5" x14ac:dyDescent="0.3">
      <c r="A210" t="str">
        <f>TEXT(Table13[[#This Row],[Order_Date]],"mmm-yyyy")</f>
        <v>Apr-2023</v>
      </c>
      <c r="B210" s="6">
        <f>SUMIF(Orders!K:K,A210,Orders!E:E)</f>
        <v>48464.652999999998</v>
      </c>
      <c r="C210" s="6">
        <f t="shared" si="11"/>
        <v>46499.452500000007</v>
      </c>
      <c r="D210" s="6">
        <f t="shared" si="9"/>
        <v>1965.2004999999917</v>
      </c>
      <c r="E210" s="6">
        <f t="shared" si="10"/>
        <v>4.2262873955343698</v>
      </c>
    </row>
    <row r="211" spans="1:5" x14ac:dyDescent="0.3">
      <c r="A211" t="str">
        <f>TEXT(Table13[[#This Row],[Order_Date]],"mmm-yyyy")</f>
        <v>Dec-2023</v>
      </c>
      <c r="B211" s="6">
        <f>SUMIF(Orders!K:K,A211,Orders!E:E)</f>
        <v>28438.1345</v>
      </c>
      <c r="C211" s="6">
        <f t="shared" si="11"/>
        <v>48464.652999999998</v>
      </c>
      <c r="D211" s="6">
        <f t="shared" si="9"/>
        <v>-20026.518499999998</v>
      </c>
      <c r="E211" s="6">
        <f t="shared" si="10"/>
        <v>-41.321906297358609</v>
      </c>
    </row>
    <row r="212" spans="1:5" x14ac:dyDescent="0.3">
      <c r="A212" t="str">
        <f>TEXT(Table13[[#This Row],[Order_Date]],"mmm-yyyy")</f>
        <v>Jun-2023</v>
      </c>
      <c r="B212" s="6">
        <f>SUMIF(Orders!K:K,A212,Orders!E:E)</f>
        <v>62271.799000000006</v>
      </c>
      <c r="C212" s="6">
        <f t="shared" si="11"/>
        <v>28438.1345</v>
      </c>
      <c r="D212" s="6">
        <f t="shared" si="9"/>
        <v>33833.664500000006</v>
      </c>
      <c r="E212" s="6">
        <f t="shared" si="10"/>
        <v>118.97286898337163</v>
      </c>
    </row>
    <row r="213" spans="1:5" x14ac:dyDescent="0.3">
      <c r="A213" t="str">
        <f>TEXT(Table13[[#This Row],[Order_Date]],"mmm-yyyy")</f>
        <v>Dec-2023</v>
      </c>
      <c r="B213" s="6">
        <f>SUMIF(Orders!K:K,A213,Orders!E:E)</f>
        <v>28438.1345</v>
      </c>
      <c r="C213" s="6">
        <f t="shared" si="11"/>
        <v>62271.799000000006</v>
      </c>
      <c r="D213" s="6">
        <f t="shared" si="9"/>
        <v>-33833.664500000006</v>
      </c>
      <c r="E213" s="6">
        <f t="shared" si="10"/>
        <v>-54.332241951127834</v>
      </c>
    </row>
    <row r="214" spans="1:5" x14ac:dyDescent="0.3">
      <c r="A214" t="str">
        <f>TEXT(Table13[[#This Row],[Order_Date]],"mmm-yyyy")</f>
        <v>Mar-2023</v>
      </c>
      <c r="B214" s="6">
        <f>SUMIF(Orders!K:K,A214,Orders!E:E)</f>
        <v>54243.0265</v>
      </c>
      <c r="C214" s="6">
        <f t="shared" si="11"/>
        <v>28438.1345</v>
      </c>
      <c r="D214" s="6">
        <f t="shared" si="9"/>
        <v>25804.892</v>
      </c>
      <c r="E214" s="6">
        <f t="shared" si="10"/>
        <v>90.740452753678341</v>
      </c>
    </row>
    <row r="215" spans="1:5" x14ac:dyDescent="0.3">
      <c r="A215" t="str">
        <f>TEXT(Table13[[#This Row],[Order_Date]],"mmm-yyyy")</f>
        <v>Jan-2023</v>
      </c>
      <c r="B215" s="6">
        <f>SUMIF(Orders!K:K,A215,Orders!E:E)</f>
        <v>36342.019</v>
      </c>
      <c r="C215" s="6">
        <f t="shared" si="11"/>
        <v>54243.0265</v>
      </c>
      <c r="D215" s="6">
        <f t="shared" si="9"/>
        <v>-17901.0075</v>
      </c>
      <c r="E215" s="6">
        <f t="shared" si="10"/>
        <v>-33.001490984283485</v>
      </c>
    </row>
    <row r="216" spans="1:5" x14ac:dyDescent="0.3">
      <c r="A216" t="str">
        <f>TEXT(Table13[[#This Row],[Order_Date]],"mmm-yyyy")</f>
        <v>May-2024</v>
      </c>
      <c r="B216" s="6">
        <f>SUMIF(Orders!K:K,A216,Orders!E:E)</f>
        <v>161169.386</v>
      </c>
      <c r="C216" s="6">
        <f t="shared" si="11"/>
        <v>36342.019</v>
      </c>
      <c r="D216" s="6">
        <f t="shared" si="9"/>
        <v>124827.367</v>
      </c>
      <c r="E216" s="6">
        <f t="shared" si="10"/>
        <v>343.47945005476993</v>
      </c>
    </row>
    <row r="217" spans="1:5" x14ac:dyDescent="0.3">
      <c r="A217" t="str">
        <f>TEXT(Table13[[#This Row],[Order_Date]],"mmm-yyyy")</f>
        <v>Jan-2025</v>
      </c>
      <c r="B217" s="6">
        <f>SUMIF(Orders!K:K,A217,Orders!E:E)</f>
        <v>34546.360500000003</v>
      </c>
      <c r="C217" s="6">
        <f t="shared" si="11"/>
        <v>161169.386</v>
      </c>
      <c r="D217" s="6">
        <f t="shared" si="9"/>
        <v>-126623.02549999999</v>
      </c>
      <c r="E217" s="6">
        <f t="shared" si="10"/>
        <v>-78.565184519596045</v>
      </c>
    </row>
    <row r="218" spans="1:5" x14ac:dyDescent="0.3">
      <c r="A218" t="str">
        <f>TEXT(Table13[[#This Row],[Order_Date]],"mmm-yyyy")</f>
        <v>May-2023</v>
      </c>
      <c r="B218" s="6">
        <f>SUMIF(Orders!K:K,A218,Orders!E:E)</f>
        <v>73563.426500000001</v>
      </c>
      <c r="C218" s="6">
        <f t="shared" si="11"/>
        <v>34546.360500000003</v>
      </c>
      <c r="D218" s="6">
        <f t="shared" si="9"/>
        <v>39017.065999999999</v>
      </c>
      <c r="E218" s="6">
        <f t="shared" si="10"/>
        <v>112.94117653869789</v>
      </c>
    </row>
    <row r="219" spans="1:5" x14ac:dyDescent="0.3">
      <c r="A219" t="str">
        <f>TEXT(Table13[[#This Row],[Order_Date]],"mmm-yyyy")</f>
        <v>Feb-2023</v>
      </c>
      <c r="B219" s="6">
        <f>SUMIF(Orders!K:K,A219,Orders!E:E)</f>
        <v>31599.2045</v>
      </c>
      <c r="C219" s="6">
        <f t="shared" si="11"/>
        <v>73563.426500000001</v>
      </c>
      <c r="D219" s="6">
        <f t="shared" si="9"/>
        <v>-41964.222000000002</v>
      </c>
      <c r="E219" s="6">
        <f t="shared" si="10"/>
        <v>-57.044952901969573</v>
      </c>
    </row>
    <row r="220" spans="1:5" x14ac:dyDescent="0.3">
      <c r="A220" t="str">
        <f>TEXT(Table13[[#This Row],[Order_Date]],"mmm-yyyy")</f>
        <v>Mar-2024</v>
      </c>
      <c r="B220" s="6">
        <f>SUMIF(Orders!K:K,A220,Orders!E:E)</f>
        <v>57373.933500000006</v>
      </c>
      <c r="C220" s="6">
        <f t="shared" si="11"/>
        <v>31599.2045</v>
      </c>
      <c r="D220" s="6">
        <f t="shared" si="9"/>
        <v>25774.729000000007</v>
      </c>
      <c r="E220" s="6">
        <f t="shared" si="10"/>
        <v>81.567651489454448</v>
      </c>
    </row>
    <row r="221" spans="1:5" x14ac:dyDescent="0.3">
      <c r="A221" t="str">
        <f>TEXT(Table13[[#This Row],[Order_Date]],"mmm-yyyy")</f>
        <v>Aug-2023</v>
      </c>
      <c r="B221" s="6">
        <f>SUMIF(Orders!K:K,A221,Orders!E:E)</f>
        <v>58411.780999999995</v>
      </c>
      <c r="C221" s="6">
        <f t="shared" si="11"/>
        <v>57373.933500000006</v>
      </c>
      <c r="D221" s="6">
        <f t="shared" si="9"/>
        <v>1037.8474999999889</v>
      </c>
      <c r="E221" s="6">
        <f t="shared" si="10"/>
        <v>1.8089181561867094</v>
      </c>
    </row>
    <row r="222" spans="1:5" x14ac:dyDescent="0.3">
      <c r="A222" t="str">
        <f>TEXT(Table13[[#This Row],[Order_Date]],"mmm-yyyy")</f>
        <v>Jan-2023</v>
      </c>
      <c r="B222" s="6">
        <f>SUMIF(Orders!K:K,A222,Orders!E:E)</f>
        <v>36342.019</v>
      </c>
      <c r="C222" s="6">
        <f t="shared" si="11"/>
        <v>58411.780999999995</v>
      </c>
      <c r="D222" s="6">
        <f t="shared" si="9"/>
        <v>-22069.761999999995</v>
      </c>
      <c r="E222" s="6">
        <f t="shared" si="10"/>
        <v>-37.783066398882781</v>
      </c>
    </row>
    <row r="223" spans="1:5" x14ac:dyDescent="0.3">
      <c r="A223" t="str">
        <f>TEXT(Table13[[#This Row],[Order_Date]],"mmm-yyyy")</f>
        <v>Mar-2025</v>
      </c>
      <c r="B223" s="6">
        <f>SUMIF(Orders!K:K,A223,Orders!E:E)</f>
        <v>68592.676000000007</v>
      </c>
      <c r="C223" s="6">
        <f t="shared" si="11"/>
        <v>36342.019</v>
      </c>
      <c r="D223" s="6">
        <f t="shared" si="9"/>
        <v>32250.657000000007</v>
      </c>
      <c r="E223" s="6">
        <f t="shared" si="10"/>
        <v>88.7420619091086</v>
      </c>
    </row>
    <row r="224" spans="1:5" x14ac:dyDescent="0.3">
      <c r="A224" t="str">
        <f>TEXT(Table13[[#This Row],[Order_Date]],"mmm-yyyy")</f>
        <v>Feb-2024</v>
      </c>
      <c r="B224" s="6">
        <f>SUMIF(Orders!K:K,A224,Orders!E:E)</f>
        <v>63420.142</v>
      </c>
      <c r="C224" s="6">
        <f t="shared" si="11"/>
        <v>68592.676000000007</v>
      </c>
      <c r="D224" s="6">
        <f t="shared" si="9"/>
        <v>-5172.5340000000069</v>
      </c>
      <c r="E224" s="6">
        <f t="shared" si="10"/>
        <v>-7.5409421262410099</v>
      </c>
    </row>
    <row r="225" spans="1:5" x14ac:dyDescent="0.3">
      <c r="A225" t="str">
        <f>TEXT(Table13[[#This Row],[Order_Date]],"mmm-yyyy")</f>
        <v>Feb-2025</v>
      </c>
      <c r="B225" s="6">
        <f>SUMIF(Orders!K:K,A225,Orders!E:E)</f>
        <v>43736.824500000002</v>
      </c>
      <c r="C225" s="6">
        <f t="shared" si="11"/>
        <v>63420.142</v>
      </c>
      <c r="D225" s="6">
        <f t="shared" si="9"/>
        <v>-19683.317499999997</v>
      </c>
      <c r="E225" s="6">
        <f t="shared" si="10"/>
        <v>-31.036381943137243</v>
      </c>
    </row>
    <row r="226" spans="1:5" x14ac:dyDescent="0.3">
      <c r="A226" t="str">
        <f>TEXT(Table13[[#This Row],[Order_Date]],"mmm-yyyy")</f>
        <v>Dec-2025</v>
      </c>
      <c r="B226" s="6">
        <f>SUMIF(Orders!K:K,A226,Orders!E:E)</f>
        <v>21403.976000000002</v>
      </c>
      <c r="C226" s="6">
        <f t="shared" si="11"/>
        <v>43736.824500000002</v>
      </c>
      <c r="D226" s="6">
        <f t="shared" si="9"/>
        <v>-22332.8485</v>
      </c>
      <c r="E226" s="6">
        <f t="shared" si="10"/>
        <v>-51.061888363660238</v>
      </c>
    </row>
    <row r="227" spans="1:5" x14ac:dyDescent="0.3">
      <c r="A227" t="str">
        <f>TEXT(Table13[[#This Row],[Order_Date]],"mmm-yyyy")</f>
        <v>May-2023</v>
      </c>
      <c r="B227" s="6">
        <f>SUMIF(Orders!K:K,A227,Orders!E:E)</f>
        <v>73563.426500000001</v>
      </c>
      <c r="C227" s="6">
        <f t="shared" si="11"/>
        <v>21403.976000000002</v>
      </c>
      <c r="D227" s="6">
        <f t="shared" si="9"/>
        <v>52159.450499999999</v>
      </c>
      <c r="E227" s="6">
        <f t="shared" si="10"/>
        <v>243.69047367647951</v>
      </c>
    </row>
    <row r="228" spans="1:5" x14ac:dyDescent="0.3">
      <c r="A228" t="str">
        <f>TEXT(Table13[[#This Row],[Order_Date]],"mmm-yyyy")</f>
        <v>Mar-2023</v>
      </c>
      <c r="B228" s="6">
        <f>SUMIF(Orders!K:K,A228,Orders!E:E)</f>
        <v>54243.0265</v>
      </c>
      <c r="C228" s="6">
        <f t="shared" si="11"/>
        <v>73563.426500000001</v>
      </c>
      <c r="D228" s="6">
        <f t="shared" si="9"/>
        <v>-19320.400000000001</v>
      </c>
      <c r="E228" s="6">
        <f t="shared" si="10"/>
        <v>-26.263594450701671</v>
      </c>
    </row>
    <row r="229" spans="1:5" x14ac:dyDescent="0.3">
      <c r="A229" t="str">
        <f>TEXT(Table13[[#This Row],[Order_Date]],"mmm-yyyy")</f>
        <v>Nov-2024</v>
      </c>
      <c r="B229" s="6">
        <f>SUMIF(Orders!K:K,A229,Orders!E:E)</f>
        <v>44725.173500000004</v>
      </c>
      <c r="C229" s="6">
        <f t="shared" si="11"/>
        <v>54243.0265</v>
      </c>
      <c r="D229" s="6">
        <f t="shared" si="9"/>
        <v>-9517.8529999999955</v>
      </c>
      <c r="E229" s="6">
        <f t="shared" si="10"/>
        <v>-17.546685010284214</v>
      </c>
    </row>
    <row r="230" spans="1:5" x14ac:dyDescent="0.3">
      <c r="A230" t="str">
        <f>TEXT(Table13[[#This Row],[Order_Date]],"mmm-yyyy")</f>
        <v>Jul-2023</v>
      </c>
      <c r="B230" s="6">
        <f>SUMIF(Orders!K:K,A230,Orders!E:E)</f>
        <v>64908.902500000004</v>
      </c>
      <c r="C230" s="6">
        <f t="shared" si="11"/>
        <v>44725.173500000004</v>
      </c>
      <c r="D230" s="6">
        <f t="shared" si="9"/>
        <v>20183.728999999999</v>
      </c>
      <c r="E230" s="6">
        <f t="shared" si="10"/>
        <v>45.128341424991895</v>
      </c>
    </row>
    <row r="231" spans="1:5" x14ac:dyDescent="0.3">
      <c r="A231" t="str">
        <f>TEXT(Table13[[#This Row],[Order_Date]],"mmm-yyyy")</f>
        <v>May-2024</v>
      </c>
      <c r="B231" s="6">
        <f>SUMIF(Orders!K:K,A231,Orders!E:E)</f>
        <v>161169.386</v>
      </c>
      <c r="C231" s="6">
        <f t="shared" si="11"/>
        <v>64908.902500000004</v>
      </c>
      <c r="D231" s="6">
        <f t="shared" si="9"/>
        <v>96260.483500000002</v>
      </c>
      <c r="E231" s="6">
        <f t="shared" si="10"/>
        <v>148.30089524314479</v>
      </c>
    </row>
    <row r="232" spans="1:5" x14ac:dyDescent="0.3">
      <c r="A232" t="str">
        <f>TEXT(Table13[[#This Row],[Order_Date]],"mmm-yyyy")</f>
        <v>Mar-2024</v>
      </c>
      <c r="B232" s="6">
        <f>SUMIF(Orders!K:K,A232,Orders!E:E)</f>
        <v>57373.933500000006</v>
      </c>
      <c r="C232" s="6">
        <f t="shared" si="11"/>
        <v>161169.386</v>
      </c>
      <c r="D232" s="6">
        <f t="shared" si="9"/>
        <v>-103795.45249999998</v>
      </c>
      <c r="E232" s="6">
        <f t="shared" si="10"/>
        <v>-64.401469209543293</v>
      </c>
    </row>
    <row r="233" spans="1:5" x14ac:dyDescent="0.3">
      <c r="A233" t="str">
        <f>TEXT(Table13[[#This Row],[Order_Date]],"mmm-yyyy")</f>
        <v>Jan-2025</v>
      </c>
      <c r="B233" s="6">
        <f>SUMIF(Orders!K:K,A233,Orders!E:E)</f>
        <v>34546.360500000003</v>
      </c>
      <c r="C233" s="6">
        <f t="shared" si="11"/>
        <v>57373.933500000006</v>
      </c>
      <c r="D233" s="6">
        <f t="shared" si="9"/>
        <v>-22827.573000000004</v>
      </c>
      <c r="E233" s="6">
        <f t="shared" si="10"/>
        <v>-39.787359184637396</v>
      </c>
    </row>
    <row r="234" spans="1:5" x14ac:dyDescent="0.3">
      <c r="A234" t="str">
        <f>TEXT(Table13[[#This Row],[Order_Date]],"mmm-yyyy")</f>
        <v>Aug-2023</v>
      </c>
      <c r="B234" s="6">
        <f>SUMIF(Orders!K:K,A234,Orders!E:E)</f>
        <v>58411.780999999995</v>
      </c>
      <c r="C234" s="6">
        <f t="shared" si="11"/>
        <v>34546.360500000003</v>
      </c>
      <c r="D234" s="6">
        <f t="shared" si="9"/>
        <v>23865.420499999993</v>
      </c>
      <c r="E234" s="6">
        <f t="shared" si="10"/>
        <v>69.082300290359072</v>
      </c>
    </row>
    <row r="235" spans="1:5" x14ac:dyDescent="0.3">
      <c r="A235" t="str">
        <f>TEXT(Table13[[#This Row],[Order_Date]],"mmm-yyyy")</f>
        <v>Aug-2024</v>
      </c>
      <c r="B235" s="6">
        <f>SUMIF(Orders!K:K,A235,Orders!E:E)</f>
        <v>57205.100000000006</v>
      </c>
      <c r="C235" s="6">
        <f t="shared" si="11"/>
        <v>58411.780999999995</v>
      </c>
      <c r="D235" s="6">
        <f t="shared" si="9"/>
        <v>-1206.6809999999896</v>
      </c>
      <c r="E235" s="6">
        <f t="shared" si="10"/>
        <v>-2.0658178527376005</v>
      </c>
    </row>
    <row r="236" spans="1:5" x14ac:dyDescent="0.3">
      <c r="A236" t="str">
        <f>TEXT(Table13[[#This Row],[Order_Date]],"mmm-yyyy")</f>
        <v>Feb-2025</v>
      </c>
      <c r="B236" s="6">
        <f>SUMIF(Orders!K:K,A236,Orders!E:E)</f>
        <v>43736.824500000002</v>
      </c>
      <c r="C236" s="6">
        <f t="shared" si="11"/>
        <v>57205.100000000006</v>
      </c>
      <c r="D236" s="6">
        <f t="shared" si="9"/>
        <v>-13468.275500000003</v>
      </c>
      <c r="E236" s="6">
        <f t="shared" si="10"/>
        <v>-23.543837000547157</v>
      </c>
    </row>
    <row r="237" spans="1:5" x14ac:dyDescent="0.3">
      <c r="A237" t="str">
        <f>TEXT(Table13[[#This Row],[Order_Date]],"mmm-yyyy")</f>
        <v>Nov-2023</v>
      </c>
      <c r="B237" s="6">
        <f>SUMIF(Orders!K:K,A237,Orders!E:E)</f>
        <v>87862.09550000001</v>
      </c>
      <c r="C237" s="6">
        <f t="shared" si="11"/>
        <v>43736.824500000002</v>
      </c>
      <c r="D237" s="6">
        <f t="shared" si="9"/>
        <v>44125.271000000008</v>
      </c>
      <c r="E237" s="6">
        <f t="shared" si="10"/>
        <v>100.88814518301392</v>
      </c>
    </row>
    <row r="238" spans="1:5" x14ac:dyDescent="0.3">
      <c r="A238" t="str">
        <f>TEXT(Table13[[#This Row],[Order_Date]],"mmm-yyyy")</f>
        <v>Jan-2024</v>
      </c>
      <c r="B238" s="6">
        <f>SUMIF(Orders!K:K,A238,Orders!E:E)</f>
        <v>63121.498000000007</v>
      </c>
      <c r="C238" s="6">
        <f t="shared" si="11"/>
        <v>87862.09550000001</v>
      </c>
      <c r="D238" s="6">
        <f t="shared" si="9"/>
        <v>-24740.597500000003</v>
      </c>
      <c r="E238" s="6">
        <f t="shared" si="10"/>
        <v>-28.158442339905264</v>
      </c>
    </row>
    <row r="239" spans="1:5" x14ac:dyDescent="0.3">
      <c r="A239" t="str">
        <f>TEXT(Table13[[#This Row],[Order_Date]],"mmm-yyyy")</f>
        <v>Jun-2024</v>
      </c>
      <c r="B239" s="6">
        <f>SUMIF(Orders!K:K,A239,Orders!E:E)</f>
        <v>28904.2945</v>
      </c>
      <c r="C239" s="6">
        <f t="shared" si="11"/>
        <v>63121.498000000007</v>
      </c>
      <c r="D239" s="6">
        <f t="shared" si="9"/>
        <v>-34217.203500000003</v>
      </c>
      <c r="E239" s="6">
        <f t="shared" si="10"/>
        <v>-54.208478227180223</v>
      </c>
    </row>
    <row r="240" spans="1:5" x14ac:dyDescent="0.3">
      <c r="A240" t="str">
        <f>TEXT(Table13[[#This Row],[Order_Date]],"mmm-yyyy")</f>
        <v>Nov-2023</v>
      </c>
      <c r="B240" s="6">
        <f>SUMIF(Orders!K:K,A240,Orders!E:E)</f>
        <v>87862.09550000001</v>
      </c>
      <c r="C240" s="6">
        <f t="shared" si="11"/>
        <v>28904.2945</v>
      </c>
      <c r="D240" s="6">
        <f t="shared" si="9"/>
        <v>58957.801000000007</v>
      </c>
      <c r="E240" s="6">
        <f t="shared" si="10"/>
        <v>203.97592129432533</v>
      </c>
    </row>
    <row r="241" spans="1:5" x14ac:dyDescent="0.3">
      <c r="A241" t="str">
        <f>TEXT(Table13[[#This Row],[Order_Date]],"mmm-yyyy")</f>
        <v>Nov-2024</v>
      </c>
      <c r="B241" s="6">
        <f>SUMIF(Orders!K:K,A241,Orders!E:E)</f>
        <v>44725.173500000004</v>
      </c>
      <c r="C241" s="6">
        <f t="shared" si="11"/>
        <v>87862.09550000001</v>
      </c>
      <c r="D241" s="6">
        <f t="shared" si="9"/>
        <v>-43136.922000000006</v>
      </c>
      <c r="E241" s="6">
        <f t="shared" si="10"/>
        <v>-49.096167982927291</v>
      </c>
    </row>
    <row r="242" spans="1:5" x14ac:dyDescent="0.3">
      <c r="A242" t="str">
        <f>TEXT(Table13[[#This Row],[Order_Date]],"mmm-yyyy")</f>
        <v>Apr-2024</v>
      </c>
      <c r="B242" s="6">
        <f>SUMIF(Orders!K:K,A242,Orders!E:E)</f>
        <v>36132.777000000002</v>
      </c>
      <c r="C242" s="6">
        <f t="shared" si="11"/>
        <v>44725.173500000004</v>
      </c>
      <c r="D242" s="6">
        <f t="shared" si="9"/>
        <v>-8592.3965000000026</v>
      </c>
      <c r="E242" s="6">
        <f t="shared" si="10"/>
        <v>-19.211544254825533</v>
      </c>
    </row>
    <row r="243" spans="1:5" x14ac:dyDescent="0.3">
      <c r="A243" t="str">
        <f>TEXT(Table13[[#This Row],[Order_Date]],"mmm-yyyy")</f>
        <v>Jan-2023</v>
      </c>
      <c r="B243" s="6">
        <f>SUMIF(Orders!K:K,A243,Orders!E:E)</f>
        <v>36342.019</v>
      </c>
      <c r="C243" s="6">
        <f t="shared" si="11"/>
        <v>36132.777000000002</v>
      </c>
      <c r="D243" s="6">
        <f t="shared" si="9"/>
        <v>209.24199999999837</v>
      </c>
      <c r="E243" s="6">
        <f t="shared" si="10"/>
        <v>0.57909194192297575</v>
      </c>
    </row>
    <row r="244" spans="1:5" x14ac:dyDescent="0.3">
      <c r="A244" t="str">
        <f>TEXT(Table13[[#This Row],[Order_Date]],"mmm-yyyy")</f>
        <v>Jan-2025</v>
      </c>
      <c r="B244" s="6">
        <f>SUMIF(Orders!K:K,A244,Orders!E:E)</f>
        <v>34546.360500000003</v>
      </c>
      <c r="C244" s="6">
        <f t="shared" si="11"/>
        <v>36342.019</v>
      </c>
      <c r="D244" s="6">
        <f t="shared" si="9"/>
        <v>-1795.6584999999977</v>
      </c>
      <c r="E244" s="6">
        <f t="shared" si="10"/>
        <v>-4.9409981872498543</v>
      </c>
    </row>
    <row r="245" spans="1:5" x14ac:dyDescent="0.3">
      <c r="A245" t="str">
        <f>TEXT(Table13[[#This Row],[Order_Date]],"mmm-yyyy")</f>
        <v>Feb-2023</v>
      </c>
      <c r="B245" s="6">
        <f>SUMIF(Orders!K:K,A245,Orders!E:E)</f>
        <v>31599.2045</v>
      </c>
      <c r="C245" s="6">
        <f t="shared" si="11"/>
        <v>34546.360500000003</v>
      </c>
      <c r="D245" s="6">
        <f t="shared" si="9"/>
        <v>-2947.1560000000027</v>
      </c>
      <c r="E245" s="6">
        <f t="shared" si="10"/>
        <v>-8.5310173267021927</v>
      </c>
    </row>
    <row r="246" spans="1:5" x14ac:dyDescent="0.3">
      <c r="A246" t="str">
        <f>TEXT(Table13[[#This Row],[Order_Date]],"mmm-yyyy")</f>
        <v>May-2025</v>
      </c>
      <c r="B246" s="6">
        <f>SUMIF(Orders!K:K,A246,Orders!E:E)</f>
        <v>66561.381000000008</v>
      </c>
      <c r="C246" s="6">
        <f t="shared" si="11"/>
        <v>31599.2045</v>
      </c>
      <c r="D246" s="6">
        <f t="shared" si="9"/>
        <v>34962.176500000009</v>
      </c>
      <c r="E246" s="6">
        <f t="shared" si="10"/>
        <v>110.64258437265408</v>
      </c>
    </row>
    <row r="247" spans="1:5" x14ac:dyDescent="0.3">
      <c r="A247" t="str">
        <f>TEXT(Table13[[#This Row],[Order_Date]],"mmm-yyyy")</f>
        <v>Dec-2024</v>
      </c>
      <c r="B247" s="6">
        <f>SUMIF(Orders!K:K,A247,Orders!E:E)</f>
        <v>27646.277000000002</v>
      </c>
      <c r="C247" s="6">
        <f t="shared" si="11"/>
        <v>66561.381000000008</v>
      </c>
      <c r="D247" s="6">
        <f t="shared" si="9"/>
        <v>-38915.104000000007</v>
      </c>
      <c r="E247" s="6">
        <f t="shared" si="10"/>
        <v>-58.4649888799633</v>
      </c>
    </row>
    <row r="248" spans="1:5" x14ac:dyDescent="0.3">
      <c r="A248" t="str">
        <f>TEXT(Table13[[#This Row],[Order_Date]],"mmm-yyyy")</f>
        <v>Mar-2025</v>
      </c>
      <c r="B248" s="6">
        <f>SUMIF(Orders!K:K,A248,Orders!E:E)</f>
        <v>68592.676000000007</v>
      </c>
      <c r="C248" s="6">
        <f t="shared" si="11"/>
        <v>27646.277000000002</v>
      </c>
      <c r="D248" s="6">
        <f t="shared" si="9"/>
        <v>40946.399000000005</v>
      </c>
      <c r="E248" s="6">
        <f t="shared" si="10"/>
        <v>148.10818469336758</v>
      </c>
    </row>
    <row r="249" spans="1:5" x14ac:dyDescent="0.3">
      <c r="A249" t="str">
        <f>TEXT(Table13[[#This Row],[Order_Date]],"mmm-yyyy")</f>
        <v>Mar-2024</v>
      </c>
      <c r="B249" s="6">
        <f>SUMIF(Orders!K:K,A249,Orders!E:E)</f>
        <v>57373.933500000006</v>
      </c>
      <c r="C249" s="6">
        <f t="shared" si="11"/>
        <v>68592.676000000007</v>
      </c>
      <c r="D249" s="6">
        <f t="shared" si="9"/>
        <v>-11218.7425</v>
      </c>
      <c r="E249" s="6">
        <f t="shared" si="10"/>
        <v>-16.355598227425912</v>
      </c>
    </row>
    <row r="250" spans="1:5" x14ac:dyDescent="0.3">
      <c r="A250" t="str">
        <f>TEXT(Table13[[#This Row],[Order_Date]],"mmm-yyyy")</f>
        <v>Dec-2024</v>
      </c>
      <c r="B250" s="6">
        <f>SUMIF(Orders!K:K,A250,Orders!E:E)</f>
        <v>27646.277000000002</v>
      </c>
      <c r="C250" s="6">
        <f t="shared" si="11"/>
        <v>57373.933500000006</v>
      </c>
      <c r="D250" s="6">
        <f t="shared" si="9"/>
        <v>-29727.656500000005</v>
      </c>
      <c r="E250" s="6">
        <f t="shared" si="10"/>
        <v>-51.813872060907244</v>
      </c>
    </row>
    <row r="251" spans="1:5" x14ac:dyDescent="0.3">
      <c r="A251" t="str">
        <f>TEXT(Table13[[#This Row],[Order_Date]],"mmm-yyyy")</f>
        <v>Nov-2023</v>
      </c>
      <c r="B251" s="6">
        <f>SUMIF(Orders!K:K,A251,Orders!E:E)</f>
        <v>87862.09550000001</v>
      </c>
      <c r="C251" s="6">
        <f t="shared" si="11"/>
        <v>27646.277000000002</v>
      </c>
      <c r="D251" s="6">
        <f t="shared" si="9"/>
        <v>60215.818500000008</v>
      </c>
      <c r="E251" s="6">
        <f t="shared" si="10"/>
        <v>217.80805603589951</v>
      </c>
    </row>
    <row r="252" spans="1:5" x14ac:dyDescent="0.3">
      <c r="A252" t="str">
        <f>TEXT(Table13[[#This Row],[Order_Date]],"mmm-yyyy")</f>
        <v>Jan-2025</v>
      </c>
      <c r="B252" s="6">
        <f>SUMIF(Orders!K:K,A252,Orders!E:E)</f>
        <v>34546.360500000003</v>
      </c>
      <c r="C252" s="6">
        <f t="shared" si="11"/>
        <v>87862.09550000001</v>
      </c>
      <c r="D252" s="6">
        <f t="shared" si="9"/>
        <v>-53315.735000000008</v>
      </c>
      <c r="E252" s="6">
        <f t="shared" si="10"/>
        <v>-60.68115573228048</v>
      </c>
    </row>
    <row r="253" spans="1:5" x14ac:dyDescent="0.3">
      <c r="A253" t="str">
        <f>TEXT(Table13[[#This Row],[Order_Date]],"mmm-yyyy")</f>
        <v>Sep-2024</v>
      </c>
      <c r="B253" s="6">
        <f>SUMIF(Orders!K:K,A253,Orders!E:E)</f>
        <v>34965.875500000002</v>
      </c>
      <c r="C253" s="6">
        <f t="shared" si="11"/>
        <v>34546.360500000003</v>
      </c>
      <c r="D253" s="6">
        <f t="shared" si="9"/>
        <v>419.51499999999942</v>
      </c>
      <c r="E253" s="6">
        <f t="shared" si="10"/>
        <v>1.2143536798905326</v>
      </c>
    </row>
    <row r="254" spans="1:5" x14ac:dyDescent="0.3">
      <c r="A254" t="str">
        <f>TEXT(Table13[[#This Row],[Order_Date]],"mmm-yyyy")</f>
        <v>Oct-2024</v>
      </c>
      <c r="B254" s="6">
        <f>SUMIF(Orders!K:K,A254,Orders!E:E)</f>
        <v>78501.203500000003</v>
      </c>
      <c r="C254" s="6">
        <f t="shared" si="11"/>
        <v>34965.875500000002</v>
      </c>
      <c r="D254" s="6">
        <f t="shared" si="9"/>
        <v>43535.328000000001</v>
      </c>
      <c r="E254" s="6">
        <f t="shared" si="10"/>
        <v>124.50804499375398</v>
      </c>
    </row>
    <row r="255" spans="1:5" x14ac:dyDescent="0.3">
      <c r="A255" t="str">
        <f>TEXT(Table13[[#This Row],[Order_Date]],"mmm-yyyy")</f>
        <v>Feb-2025</v>
      </c>
      <c r="B255" s="6">
        <f>SUMIF(Orders!K:K,A255,Orders!E:E)</f>
        <v>43736.824500000002</v>
      </c>
      <c r="C255" s="6">
        <f t="shared" si="11"/>
        <v>78501.203500000003</v>
      </c>
      <c r="D255" s="6">
        <f t="shared" si="9"/>
        <v>-34764.379000000001</v>
      </c>
      <c r="E255" s="6">
        <f t="shared" si="10"/>
        <v>-44.285154176012092</v>
      </c>
    </row>
    <row r="256" spans="1:5" x14ac:dyDescent="0.3">
      <c r="A256" t="str">
        <f>TEXT(Table13[[#This Row],[Order_Date]],"mmm-yyyy")</f>
        <v>Feb-2023</v>
      </c>
      <c r="B256" s="6">
        <f>SUMIF(Orders!K:K,A256,Orders!E:E)</f>
        <v>31599.2045</v>
      </c>
      <c r="C256" s="6">
        <f t="shared" si="11"/>
        <v>43736.824500000002</v>
      </c>
      <c r="D256" s="6">
        <f t="shared" si="9"/>
        <v>-12137.620000000003</v>
      </c>
      <c r="E256" s="6">
        <f t="shared" si="10"/>
        <v>-27.751488908391149</v>
      </c>
    </row>
    <row r="257" spans="1:5" x14ac:dyDescent="0.3">
      <c r="A257" t="str">
        <f>TEXT(Table13[[#This Row],[Order_Date]],"mmm-yyyy")</f>
        <v>Nov-2024</v>
      </c>
      <c r="B257" s="6">
        <f>SUMIF(Orders!K:K,A257,Orders!E:E)</f>
        <v>44725.173500000004</v>
      </c>
      <c r="C257" s="6">
        <f t="shared" si="11"/>
        <v>31599.2045</v>
      </c>
      <c r="D257" s="6">
        <f t="shared" si="9"/>
        <v>13125.969000000005</v>
      </c>
      <c r="E257" s="6">
        <f t="shared" si="10"/>
        <v>41.538922285211335</v>
      </c>
    </row>
    <row r="258" spans="1:5" x14ac:dyDescent="0.3">
      <c r="A258" t="str">
        <f>TEXT(Table13[[#This Row],[Order_Date]],"mmm-yyyy")</f>
        <v>Aug-2023</v>
      </c>
      <c r="B258" s="6">
        <f>SUMIF(Orders!K:K,A258,Orders!E:E)</f>
        <v>58411.780999999995</v>
      </c>
      <c r="C258" s="6">
        <f t="shared" si="11"/>
        <v>44725.173500000004</v>
      </c>
      <c r="D258" s="6">
        <f t="shared" si="9"/>
        <v>13686.607499999991</v>
      </c>
      <c r="E258" s="6">
        <f t="shared" si="10"/>
        <v>30.601574972090358</v>
      </c>
    </row>
    <row r="259" spans="1:5" x14ac:dyDescent="0.3">
      <c r="A259" t="str">
        <f>TEXT(Table13[[#This Row],[Order_Date]],"mmm-yyyy")</f>
        <v>Jan-2024</v>
      </c>
      <c r="B259" s="6">
        <f>SUMIF(Orders!K:K,A259,Orders!E:E)</f>
        <v>63121.498000000007</v>
      </c>
      <c r="C259" s="6">
        <f t="shared" si="11"/>
        <v>58411.780999999995</v>
      </c>
      <c r="D259" s="6">
        <f t="shared" ref="D259:D322" si="12">B259-C259</f>
        <v>4709.7170000000115</v>
      </c>
      <c r="E259" s="6">
        <f t="shared" ref="E259:E322" si="13">IF(C259=0,0,(D259/C259)*100)</f>
        <v>8.0629573681377931</v>
      </c>
    </row>
    <row r="260" spans="1:5" x14ac:dyDescent="0.3">
      <c r="A260" t="str">
        <f>TEXT(Table13[[#This Row],[Order_Date]],"mmm-yyyy")</f>
        <v>Nov-2024</v>
      </c>
      <c r="B260" s="6">
        <f>SUMIF(Orders!K:K,A260,Orders!E:E)</f>
        <v>44725.173500000004</v>
      </c>
      <c r="C260" s="6">
        <f t="shared" ref="C260:C323" si="14">B259</f>
        <v>63121.498000000007</v>
      </c>
      <c r="D260" s="6">
        <f t="shared" si="12"/>
        <v>-18396.324500000002</v>
      </c>
      <c r="E260" s="6">
        <f t="shared" si="13"/>
        <v>-29.144309122701745</v>
      </c>
    </row>
    <row r="261" spans="1:5" x14ac:dyDescent="0.3">
      <c r="A261" t="str">
        <f>TEXT(Table13[[#This Row],[Order_Date]],"mmm-yyyy")</f>
        <v>Aug-2024</v>
      </c>
      <c r="B261" s="6">
        <f>SUMIF(Orders!K:K,A261,Orders!E:E)</f>
        <v>57205.100000000006</v>
      </c>
      <c r="C261" s="6">
        <f t="shared" si="14"/>
        <v>44725.173500000004</v>
      </c>
      <c r="D261" s="6">
        <f t="shared" si="12"/>
        <v>12479.926500000001</v>
      </c>
      <c r="E261" s="6">
        <f t="shared" si="13"/>
        <v>27.903584320360437</v>
      </c>
    </row>
    <row r="262" spans="1:5" x14ac:dyDescent="0.3">
      <c r="A262" t="str">
        <f>TEXT(Table13[[#This Row],[Order_Date]],"mmm-yyyy")</f>
        <v>Oct-2023</v>
      </c>
      <c r="B262" s="6">
        <f>SUMIF(Orders!K:K,A262,Orders!E:E)</f>
        <v>35673.451500000003</v>
      </c>
      <c r="C262" s="6">
        <f t="shared" si="14"/>
        <v>57205.100000000006</v>
      </c>
      <c r="D262" s="6">
        <f t="shared" si="12"/>
        <v>-21531.648500000003</v>
      </c>
      <c r="E262" s="6">
        <f t="shared" si="13"/>
        <v>-37.639386173610397</v>
      </c>
    </row>
    <row r="263" spans="1:5" x14ac:dyDescent="0.3">
      <c r="A263" t="str">
        <f>TEXT(Table13[[#This Row],[Order_Date]],"mmm-yyyy")</f>
        <v>Dec-2024</v>
      </c>
      <c r="B263" s="6">
        <f>SUMIF(Orders!K:K,A263,Orders!E:E)</f>
        <v>27646.277000000002</v>
      </c>
      <c r="C263" s="6">
        <f t="shared" si="14"/>
        <v>35673.451500000003</v>
      </c>
      <c r="D263" s="6">
        <f t="shared" si="12"/>
        <v>-8027.174500000001</v>
      </c>
      <c r="E263" s="6">
        <f t="shared" si="13"/>
        <v>-22.501816231602934</v>
      </c>
    </row>
    <row r="264" spans="1:5" x14ac:dyDescent="0.3">
      <c r="A264" t="str">
        <f>TEXT(Table13[[#This Row],[Order_Date]],"mmm-yyyy")</f>
        <v>Aug-2023</v>
      </c>
      <c r="B264" s="6">
        <f>SUMIF(Orders!K:K,A264,Orders!E:E)</f>
        <v>58411.780999999995</v>
      </c>
      <c r="C264" s="6">
        <f t="shared" si="14"/>
        <v>27646.277000000002</v>
      </c>
      <c r="D264" s="6">
        <f t="shared" si="12"/>
        <v>30765.503999999994</v>
      </c>
      <c r="E264" s="6">
        <f t="shared" si="13"/>
        <v>111.28262948389033</v>
      </c>
    </row>
    <row r="265" spans="1:5" x14ac:dyDescent="0.3">
      <c r="A265" t="str">
        <f>TEXT(Table13[[#This Row],[Order_Date]],"mmm-yyyy")</f>
        <v>Jan-2023</v>
      </c>
      <c r="B265" s="6">
        <f>SUMIF(Orders!K:K,A265,Orders!E:E)</f>
        <v>36342.019</v>
      </c>
      <c r="C265" s="6">
        <f t="shared" si="14"/>
        <v>58411.780999999995</v>
      </c>
      <c r="D265" s="6">
        <f t="shared" si="12"/>
        <v>-22069.761999999995</v>
      </c>
      <c r="E265" s="6">
        <f t="shared" si="13"/>
        <v>-37.783066398882781</v>
      </c>
    </row>
    <row r="266" spans="1:5" x14ac:dyDescent="0.3">
      <c r="A266" t="str">
        <f>TEXT(Table13[[#This Row],[Order_Date]],"mmm-yyyy")</f>
        <v>Jul-2023</v>
      </c>
      <c r="B266" s="6">
        <f>SUMIF(Orders!K:K,A266,Orders!E:E)</f>
        <v>64908.902500000004</v>
      </c>
      <c r="C266" s="6">
        <f t="shared" si="14"/>
        <v>36342.019</v>
      </c>
      <c r="D266" s="6">
        <f t="shared" si="12"/>
        <v>28566.883500000004</v>
      </c>
      <c r="E266" s="6">
        <f t="shared" si="13"/>
        <v>78.605658920600987</v>
      </c>
    </row>
    <row r="267" spans="1:5" x14ac:dyDescent="0.3">
      <c r="A267" t="str">
        <f>TEXT(Table13[[#This Row],[Order_Date]],"mmm-yyyy")</f>
        <v>Nov-2023</v>
      </c>
      <c r="B267" s="6">
        <f>SUMIF(Orders!K:K,A267,Orders!E:E)</f>
        <v>87862.09550000001</v>
      </c>
      <c r="C267" s="6">
        <f t="shared" si="14"/>
        <v>64908.902500000004</v>
      </c>
      <c r="D267" s="6">
        <f t="shared" si="12"/>
        <v>22953.193000000007</v>
      </c>
      <c r="E267" s="6">
        <f t="shared" si="13"/>
        <v>35.362164689196533</v>
      </c>
    </row>
    <row r="268" spans="1:5" x14ac:dyDescent="0.3">
      <c r="A268" t="str">
        <f>TEXT(Table13[[#This Row],[Order_Date]],"mmm-yyyy")</f>
        <v>Jan-2023</v>
      </c>
      <c r="B268" s="6">
        <f>SUMIF(Orders!K:K,A268,Orders!E:E)</f>
        <v>36342.019</v>
      </c>
      <c r="C268" s="6">
        <f t="shared" si="14"/>
        <v>87862.09550000001</v>
      </c>
      <c r="D268" s="6">
        <f t="shared" si="12"/>
        <v>-51520.07650000001</v>
      </c>
      <c r="E268" s="6">
        <f t="shared" si="13"/>
        <v>-58.637431997054975</v>
      </c>
    </row>
    <row r="269" spans="1:5" x14ac:dyDescent="0.3">
      <c r="A269" t="str">
        <f>TEXT(Table13[[#This Row],[Order_Date]],"mmm-yyyy")</f>
        <v>May-2025</v>
      </c>
      <c r="B269" s="6">
        <f>SUMIF(Orders!K:K,A269,Orders!E:E)</f>
        <v>66561.381000000008</v>
      </c>
      <c r="C269" s="6">
        <f t="shared" si="14"/>
        <v>36342.019</v>
      </c>
      <c r="D269" s="6">
        <f t="shared" si="12"/>
        <v>30219.362000000008</v>
      </c>
      <c r="E269" s="6">
        <f t="shared" si="13"/>
        <v>83.152677896073996</v>
      </c>
    </row>
    <row r="270" spans="1:5" x14ac:dyDescent="0.3">
      <c r="A270" t="str">
        <f>TEXT(Table13[[#This Row],[Order_Date]],"mmm-yyyy")</f>
        <v>Feb-2023</v>
      </c>
      <c r="B270" s="6">
        <f>SUMIF(Orders!K:K,A270,Orders!E:E)</f>
        <v>31599.2045</v>
      </c>
      <c r="C270" s="6">
        <f t="shared" si="14"/>
        <v>66561.381000000008</v>
      </c>
      <c r="D270" s="6">
        <f t="shared" si="12"/>
        <v>-34962.176500000009</v>
      </c>
      <c r="E270" s="6">
        <f t="shared" si="13"/>
        <v>-52.526218619171985</v>
      </c>
    </row>
    <row r="271" spans="1:5" x14ac:dyDescent="0.3">
      <c r="A271" t="str">
        <f>TEXT(Table13[[#This Row],[Order_Date]],"mmm-yyyy")</f>
        <v>May-2023</v>
      </c>
      <c r="B271" s="6">
        <f>SUMIF(Orders!K:K,A271,Orders!E:E)</f>
        <v>73563.426500000001</v>
      </c>
      <c r="C271" s="6">
        <f t="shared" si="14"/>
        <v>31599.2045</v>
      </c>
      <c r="D271" s="6">
        <f t="shared" si="12"/>
        <v>41964.222000000002</v>
      </c>
      <c r="E271" s="6">
        <f t="shared" si="13"/>
        <v>132.80151403811448</v>
      </c>
    </row>
    <row r="272" spans="1:5" x14ac:dyDescent="0.3">
      <c r="A272" t="str">
        <f>TEXT(Table13[[#This Row],[Order_Date]],"mmm-yyyy")</f>
        <v>May-2024</v>
      </c>
      <c r="B272" s="6">
        <f>SUMIF(Orders!K:K,A272,Orders!E:E)</f>
        <v>161169.386</v>
      </c>
      <c r="C272" s="6">
        <f t="shared" si="14"/>
        <v>73563.426500000001</v>
      </c>
      <c r="D272" s="6">
        <f t="shared" si="12"/>
        <v>87605.959499999997</v>
      </c>
      <c r="E272" s="6">
        <f t="shared" si="13"/>
        <v>119.08901429435181</v>
      </c>
    </row>
    <row r="273" spans="1:5" x14ac:dyDescent="0.3">
      <c r="A273" t="str">
        <f>TEXT(Table13[[#This Row],[Order_Date]],"mmm-yyyy")</f>
        <v>Jan-2024</v>
      </c>
      <c r="B273" s="6">
        <f>SUMIF(Orders!K:K,A273,Orders!E:E)</f>
        <v>63121.498000000007</v>
      </c>
      <c r="C273" s="6">
        <f t="shared" si="14"/>
        <v>161169.386</v>
      </c>
      <c r="D273" s="6">
        <f t="shared" si="12"/>
        <v>-98047.887999999992</v>
      </c>
      <c r="E273" s="6">
        <f t="shared" si="13"/>
        <v>-60.835305285583196</v>
      </c>
    </row>
    <row r="274" spans="1:5" x14ac:dyDescent="0.3">
      <c r="A274" t="str">
        <f>TEXT(Table13[[#This Row],[Order_Date]],"mmm-yyyy")</f>
        <v>Jun-2023</v>
      </c>
      <c r="B274" s="6">
        <f>SUMIF(Orders!K:K,A274,Orders!E:E)</f>
        <v>62271.799000000006</v>
      </c>
      <c r="C274" s="6">
        <f t="shared" si="14"/>
        <v>63121.498000000007</v>
      </c>
      <c r="D274" s="6">
        <f t="shared" si="12"/>
        <v>-849.69900000000052</v>
      </c>
      <c r="E274" s="6">
        <f t="shared" si="13"/>
        <v>-1.3461325014815086</v>
      </c>
    </row>
    <row r="275" spans="1:5" x14ac:dyDescent="0.3">
      <c r="A275" t="str">
        <f>TEXT(Table13[[#This Row],[Order_Date]],"mmm-yyyy")</f>
        <v>Jul-2024</v>
      </c>
      <c r="B275" s="6">
        <f>SUMIF(Orders!K:K,A275,Orders!E:E)</f>
        <v>46499.452500000007</v>
      </c>
      <c r="C275" s="6">
        <f t="shared" si="14"/>
        <v>62271.799000000006</v>
      </c>
      <c r="D275" s="6">
        <f t="shared" si="12"/>
        <v>-15772.3465</v>
      </c>
      <c r="E275" s="6">
        <f t="shared" si="13"/>
        <v>-25.328233250495941</v>
      </c>
    </row>
    <row r="276" spans="1:5" x14ac:dyDescent="0.3">
      <c r="A276" t="str">
        <f>TEXT(Table13[[#This Row],[Order_Date]],"mmm-yyyy")</f>
        <v>Jun-2025</v>
      </c>
      <c r="B276" s="6">
        <f>SUMIF(Orders!K:K,A276,Orders!E:E)</f>
        <v>28111.332999999999</v>
      </c>
      <c r="C276" s="6">
        <f t="shared" si="14"/>
        <v>46499.452500000007</v>
      </c>
      <c r="D276" s="6">
        <f t="shared" si="12"/>
        <v>-18388.119500000008</v>
      </c>
      <c r="E276" s="6">
        <f t="shared" si="13"/>
        <v>-39.544808618983211</v>
      </c>
    </row>
    <row r="277" spans="1:5" x14ac:dyDescent="0.3">
      <c r="A277" t="str">
        <f>TEXT(Table13[[#This Row],[Order_Date]],"mmm-yyyy")</f>
        <v>Jul-2023</v>
      </c>
      <c r="B277" s="6">
        <f>SUMIF(Orders!K:K,A277,Orders!E:E)</f>
        <v>64908.902500000004</v>
      </c>
      <c r="C277" s="6">
        <f t="shared" si="14"/>
        <v>28111.332999999999</v>
      </c>
      <c r="D277" s="6">
        <f t="shared" si="12"/>
        <v>36797.569500000005</v>
      </c>
      <c r="E277" s="6">
        <f t="shared" si="13"/>
        <v>130.89941163586946</v>
      </c>
    </row>
    <row r="278" spans="1:5" x14ac:dyDescent="0.3">
      <c r="A278" t="str">
        <f>TEXT(Table13[[#This Row],[Order_Date]],"mmm-yyyy")</f>
        <v>Jul-2023</v>
      </c>
      <c r="B278" s="6">
        <f>SUMIF(Orders!K:K,A278,Orders!E:E)</f>
        <v>64908.902500000004</v>
      </c>
      <c r="C278" s="6">
        <f t="shared" si="14"/>
        <v>64908.902500000004</v>
      </c>
      <c r="D278" s="6">
        <f t="shared" si="12"/>
        <v>0</v>
      </c>
      <c r="E278" s="6">
        <f t="shared" si="13"/>
        <v>0</v>
      </c>
    </row>
    <row r="279" spans="1:5" x14ac:dyDescent="0.3">
      <c r="A279" t="str">
        <f>TEXT(Table13[[#This Row],[Order_Date]],"mmm-yyyy")</f>
        <v>Oct-2024</v>
      </c>
      <c r="B279" s="6">
        <f>SUMIF(Orders!K:K,A279,Orders!E:E)</f>
        <v>78501.203500000003</v>
      </c>
      <c r="C279" s="6">
        <f t="shared" si="14"/>
        <v>64908.902500000004</v>
      </c>
      <c r="D279" s="6">
        <f t="shared" si="12"/>
        <v>13592.300999999999</v>
      </c>
      <c r="E279" s="6">
        <f t="shared" si="13"/>
        <v>20.940580531306932</v>
      </c>
    </row>
    <row r="280" spans="1:5" x14ac:dyDescent="0.3">
      <c r="A280" t="str">
        <f>TEXT(Table13[[#This Row],[Order_Date]],"mmm-yyyy")</f>
        <v>Jan-2025</v>
      </c>
      <c r="B280" s="6">
        <f>SUMIF(Orders!K:K,A280,Orders!E:E)</f>
        <v>34546.360500000003</v>
      </c>
      <c r="C280" s="6">
        <f t="shared" si="14"/>
        <v>78501.203500000003</v>
      </c>
      <c r="D280" s="6">
        <f t="shared" si="12"/>
        <v>-43954.843000000001</v>
      </c>
      <c r="E280" s="6">
        <f t="shared" si="13"/>
        <v>-55.992572139355801</v>
      </c>
    </row>
    <row r="281" spans="1:5" x14ac:dyDescent="0.3">
      <c r="A281" t="str">
        <f>TEXT(Table13[[#This Row],[Order_Date]],"mmm-yyyy")</f>
        <v>Apr-2025</v>
      </c>
      <c r="B281" s="6">
        <f>SUMIF(Orders!K:K,A281,Orders!E:E)</f>
        <v>36156.792499999996</v>
      </c>
      <c r="C281" s="6">
        <f t="shared" si="14"/>
        <v>34546.360500000003</v>
      </c>
      <c r="D281" s="6">
        <f t="shared" si="12"/>
        <v>1610.4319999999934</v>
      </c>
      <c r="E281" s="6">
        <f t="shared" si="13"/>
        <v>4.6616545902136153</v>
      </c>
    </row>
    <row r="282" spans="1:5" x14ac:dyDescent="0.3">
      <c r="A282" t="str">
        <f>TEXT(Table13[[#This Row],[Order_Date]],"mmm-yyyy")</f>
        <v>Feb-2025</v>
      </c>
      <c r="B282" s="6">
        <f>SUMIF(Orders!K:K,A282,Orders!E:E)</f>
        <v>43736.824500000002</v>
      </c>
      <c r="C282" s="6">
        <f t="shared" si="14"/>
        <v>36156.792499999996</v>
      </c>
      <c r="D282" s="6">
        <f t="shared" si="12"/>
        <v>7580.0320000000065</v>
      </c>
      <c r="E282" s="6">
        <f t="shared" si="13"/>
        <v>20.964337475455014</v>
      </c>
    </row>
    <row r="283" spans="1:5" x14ac:dyDescent="0.3">
      <c r="A283" t="str">
        <f>TEXT(Table13[[#This Row],[Order_Date]],"mmm-yyyy")</f>
        <v>Sep-2023</v>
      </c>
      <c r="B283" s="6">
        <f>SUMIF(Orders!K:K,A283,Orders!E:E)</f>
        <v>54431.520499999999</v>
      </c>
      <c r="C283" s="6">
        <f t="shared" si="14"/>
        <v>43736.824500000002</v>
      </c>
      <c r="D283" s="6">
        <f t="shared" si="12"/>
        <v>10694.695999999996</v>
      </c>
      <c r="E283" s="6">
        <f t="shared" si="13"/>
        <v>24.452383368618808</v>
      </c>
    </row>
    <row r="284" spans="1:5" x14ac:dyDescent="0.3">
      <c r="A284" t="str">
        <f>TEXT(Table13[[#This Row],[Order_Date]],"mmm-yyyy")</f>
        <v>Apr-2024</v>
      </c>
      <c r="B284" s="6">
        <f>SUMIF(Orders!K:K,A284,Orders!E:E)</f>
        <v>36132.777000000002</v>
      </c>
      <c r="C284" s="6">
        <f t="shared" si="14"/>
        <v>54431.520499999999</v>
      </c>
      <c r="D284" s="6">
        <f t="shared" si="12"/>
        <v>-18298.743499999997</v>
      </c>
      <c r="E284" s="6">
        <f t="shared" si="13"/>
        <v>-33.617917213978984</v>
      </c>
    </row>
    <row r="285" spans="1:5" x14ac:dyDescent="0.3">
      <c r="A285" t="str">
        <f>TEXT(Table13[[#This Row],[Order_Date]],"mmm-yyyy")</f>
        <v>Nov-2024</v>
      </c>
      <c r="B285" s="6">
        <f>SUMIF(Orders!K:K,A285,Orders!E:E)</f>
        <v>44725.173500000004</v>
      </c>
      <c r="C285" s="6">
        <f t="shared" si="14"/>
        <v>36132.777000000002</v>
      </c>
      <c r="D285" s="6">
        <f t="shared" si="12"/>
        <v>8592.3965000000026</v>
      </c>
      <c r="E285" s="6">
        <f t="shared" si="13"/>
        <v>23.780061244669909</v>
      </c>
    </row>
    <row r="286" spans="1:5" x14ac:dyDescent="0.3">
      <c r="A286" t="str">
        <f>TEXT(Table13[[#This Row],[Order_Date]],"mmm-yyyy")</f>
        <v>Jul-2024</v>
      </c>
      <c r="B286" s="6">
        <f>SUMIF(Orders!K:K,A286,Orders!E:E)</f>
        <v>46499.452500000007</v>
      </c>
      <c r="C286" s="6">
        <f t="shared" si="14"/>
        <v>44725.173500000004</v>
      </c>
      <c r="D286" s="6">
        <f t="shared" si="12"/>
        <v>1774.2790000000023</v>
      </c>
      <c r="E286" s="6">
        <f t="shared" si="13"/>
        <v>3.9670701333333049</v>
      </c>
    </row>
    <row r="287" spans="1:5" x14ac:dyDescent="0.3">
      <c r="A287" t="str">
        <f>TEXT(Table13[[#This Row],[Order_Date]],"mmm-yyyy")</f>
        <v>May-2024</v>
      </c>
      <c r="B287" s="6">
        <f>SUMIF(Orders!K:K,A287,Orders!E:E)</f>
        <v>161169.386</v>
      </c>
      <c r="C287" s="6">
        <f t="shared" si="14"/>
        <v>46499.452500000007</v>
      </c>
      <c r="D287" s="6">
        <f t="shared" si="12"/>
        <v>114669.93349999998</v>
      </c>
      <c r="E287" s="6">
        <f t="shared" si="13"/>
        <v>246.60491110083495</v>
      </c>
    </row>
    <row r="288" spans="1:5" x14ac:dyDescent="0.3">
      <c r="A288" t="str">
        <f>TEXT(Table13[[#This Row],[Order_Date]],"mmm-yyyy")</f>
        <v>Jan-2025</v>
      </c>
      <c r="B288" s="6">
        <f>SUMIF(Orders!K:K,A288,Orders!E:E)</f>
        <v>34546.360500000003</v>
      </c>
      <c r="C288" s="6">
        <f t="shared" si="14"/>
        <v>161169.386</v>
      </c>
      <c r="D288" s="6">
        <f t="shared" si="12"/>
        <v>-126623.02549999999</v>
      </c>
      <c r="E288" s="6">
        <f t="shared" si="13"/>
        <v>-78.565184519596045</v>
      </c>
    </row>
    <row r="289" spans="1:5" x14ac:dyDescent="0.3">
      <c r="A289" t="str">
        <f>TEXT(Table13[[#This Row],[Order_Date]],"mmm-yyyy")</f>
        <v>Apr-2025</v>
      </c>
      <c r="B289" s="6">
        <f>SUMIF(Orders!K:K,A289,Orders!E:E)</f>
        <v>36156.792499999996</v>
      </c>
      <c r="C289" s="6">
        <f t="shared" si="14"/>
        <v>34546.360500000003</v>
      </c>
      <c r="D289" s="6">
        <f t="shared" si="12"/>
        <v>1610.4319999999934</v>
      </c>
      <c r="E289" s="6">
        <f t="shared" si="13"/>
        <v>4.6616545902136153</v>
      </c>
    </row>
    <row r="290" spans="1:5" x14ac:dyDescent="0.3">
      <c r="A290" t="str">
        <f>TEXT(Table13[[#This Row],[Order_Date]],"mmm-yyyy")</f>
        <v>Sep-2024</v>
      </c>
      <c r="B290" s="6">
        <f>SUMIF(Orders!K:K,A290,Orders!E:E)</f>
        <v>34965.875500000002</v>
      </c>
      <c r="C290" s="6">
        <f t="shared" si="14"/>
        <v>36156.792499999996</v>
      </c>
      <c r="D290" s="6">
        <f t="shared" si="12"/>
        <v>-1190.916999999994</v>
      </c>
      <c r="E290" s="6">
        <f t="shared" si="13"/>
        <v>-3.2937573209791604</v>
      </c>
    </row>
    <row r="291" spans="1:5" x14ac:dyDescent="0.3">
      <c r="A291" t="str">
        <f>TEXT(Table13[[#This Row],[Order_Date]],"mmm-yyyy")</f>
        <v>Aug-2023</v>
      </c>
      <c r="B291" s="6">
        <f>SUMIF(Orders!K:K,A291,Orders!E:E)</f>
        <v>58411.780999999995</v>
      </c>
      <c r="C291" s="6">
        <f t="shared" si="14"/>
        <v>34965.875500000002</v>
      </c>
      <c r="D291" s="6">
        <f t="shared" si="12"/>
        <v>23445.905499999993</v>
      </c>
      <c r="E291" s="6">
        <f t="shared" si="13"/>
        <v>67.053677806523083</v>
      </c>
    </row>
    <row r="292" spans="1:5" x14ac:dyDescent="0.3">
      <c r="A292" t="str">
        <f>TEXT(Table13[[#This Row],[Order_Date]],"mmm-yyyy")</f>
        <v>Apr-2025</v>
      </c>
      <c r="B292" s="6">
        <f>SUMIF(Orders!K:K,A292,Orders!E:E)</f>
        <v>36156.792499999996</v>
      </c>
      <c r="C292" s="6">
        <f t="shared" si="14"/>
        <v>58411.780999999995</v>
      </c>
      <c r="D292" s="6">
        <f t="shared" si="12"/>
        <v>-22254.988499999999</v>
      </c>
      <c r="E292" s="6">
        <f t="shared" si="13"/>
        <v>-38.100171093909978</v>
      </c>
    </row>
    <row r="293" spans="1:5" x14ac:dyDescent="0.3">
      <c r="A293" t="str">
        <f>TEXT(Table13[[#This Row],[Order_Date]],"mmm-yyyy")</f>
        <v>Jun-2024</v>
      </c>
      <c r="B293" s="6">
        <f>SUMIF(Orders!K:K,A293,Orders!E:E)</f>
        <v>28904.2945</v>
      </c>
      <c r="C293" s="6">
        <f t="shared" si="14"/>
        <v>36156.792499999996</v>
      </c>
      <c r="D293" s="6">
        <f t="shared" si="12"/>
        <v>-7252.497999999996</v>
      </c>
      <c r="E293" s="6">
        <f t="shared" si="13"/>
        <v>-20.058466192763081</v>
      </c>
    </row>
    <row r="294" spans="1:5" x14ac:dyDescent="0.3">
      <c r="A294" t="str">
        <f>TEXT(Table13[[#This Row],[Order_Date]],"mmm-yyyy")</f>
        <v>Nov-2023</v>
      </c>
      <c r="B294" s="6">
        <f>SUMIF(Orders!K:K,A294,Orders!E:E)</f>
        <v>87862.09550000001</v>
      </c>
      <c r="C294" s="6">
        <f t="shared" si="14"/>
        <v>28904.2945</v>
      </c>
      <c r="D294" s="6">
        <f t="shared" si="12"/>
        <v>58957.801000000007</v>
      </c>
      <c r="E294" s="6">
        <f t="shared" si="13"/>
        <v>203.97592129432533</v>
      </c>
    </row>
    <row r="295" spans="1:5" x14ac:dyDescent="0.3">
      <c r="A295" t="str">
        <f>TEXT(Table13[[#This Row],[Order_Date]],"mmm-yyyy")</f>
        <v>Apr-2023</v>
      </c>
      <c r="B295" s="6">
        <f>SUMIF(Orders!K:K,A295,Orders!E:E)</f>
        <v>48464.652999999998</v>
      </c>
      <c r="C295" s="6">
        <f t="shared" si="14"/>
        <v>87862.09550000001</v>
      </c>
      <c r="D295" s="6">
        <f t="shared" si="12"/>
        <v>-39397.442500000012</v>
      </c>
      <c r="E295" s="6">
        <f t="shared" si="13"/>
        <v>-44.840089774549035</v>
      </c>
    </row>
    <row r="296" spans="1:5" x14ac:dyDescent="0.3">
      <c r="A296" t="str">
        <f>TEXT(Table13[[#This Row],[Order_Date]],"mmm-yyyy")</f>
        <v>Aug-2025</v>
      </c>
      <c r="B296" s="6">
        <f>SUMIF(Orders!K:K,A296,Orders!E:E)</f>
        <v>7924.0545000000002</v>
      </c>
      <c r="C296" s="6">
        <f t="shared" si="14"/>
        <v>48464.652999999998</v>
      </c>
      <c r="D296" s="6">
        <f t="shared" si="12"/>
        <v>-40540.5985</v>
      </c>
      <c r="E296" s="6">
        <f t="shared" si="13"/>
        <v>-83.649827225627718</v>
      </c>
    </row>
    <row r="297" spans="1:5" x14ac:dyDescent="0.3">
      <c r="A297" t="str">
        <f>TEXT(Table13[[#This Row],[Order_Date]],"mmm-yyyy")</f>
        <v>Oct-2025</v>
      </c>
      <c r="B297" s="6">
        <f>SUMIF(Orders!K:K,A297,Orders!E:E)</f>
        <v>2657.61</v>
      </c>
      <c r="C297" s="6">
        <f t="shared" si="14"/>
        <v>7924.0545000000002</v>
      </c>
      <c r="D297" s="6">
        <f t="shared" si="12"/>
        <v>-5266.4444999999996</v>
      </c>
      <c r="E297" s="6">
        <f t="shared" si="13"/>
        <v>-66.461487613443339</v>
      </c>
    </row>
    <row r="298" spans="1:5" x14ac:dyDescent="0.3">
      <c r="A298" t="str">
        <f>TEXT(Table13[[#This Row],[Order_Date]],"mmm-yyyy")</f>
        <v>Mar-2025</v>
      </c>
      <c r="B298" s="6">
        <f>SUMIF(Orders!K:K,A298,Orders!E:E)</f>
        <v>68592.676000000007</v>
      </c>
      <c r="C298" s="6">
        <f t="shared" si="14"/>
        <v>2657.61</v>
      </c>
      <c r="D298" s="6">
        <f t="shared" si="12"/>
        <v>65935.066000000006</v>
      </c>
      <c r="E298" s="6">
        <f t="shared" si="13"/>
        <v>2480.9910408223932</v>
      </c>
    </row>
    <row r="299" spans="1:5" x14ac:dyDescent="0.3">
      <c r="A299" t="str">
        <f>TEXT(Table13[[#This Row],[Order_Date]],"mmm-yyyy")</f>
        <v>Sep-2023</v>
      </c>
      <c r="B299" s="6">
        <f>SUMIF(Orders!K:K,A299,Orders!E:E)</f>
        <v>54431.520499999999</v>
      </c>
      <c r="C299" s="6">
        <f t="shared" si="14"/>
        <v>68592.676000000007</v>
      </c>
      <c r="D299" s="6">
        <f t="shared" si="12"/>
        <v>-14161.155500000008</v>
      </c>
      <c r="E299" s="6">
        <f t="shared" si="13"/>
        <v>-20.645287989639019</v>
      </c>
    </row>
    <row r="300" spans="1:5" x14ac:dyDescent="0.3">
      <c r="A300" t="str">
        <f>TEXT(Table13[[#This Row],[Order_Date]],"mmm-yyyy")</f>
        <v>Nov-2023</v>
      </c>
      <c r="B300" s="6">
        <f>SUMIF(Orders!K:K,A300,Orders!E:E)</f>
        <v>87862.09550000001</v>
      </c>
      <c r="C300" s="6">
        <f t="shared" si="14"/>
        <v>54431.520499999999</v>
      </c>
      <c r="D300" s="6">
        <f t="shared" si="12"/>
        <v>33430.575000000012</v>
      </c>
      <c r="E300" s="6">
        <f t="shared" si="13"/>
        <v>61.417676179007366</v>
      </c>
    </row>
    <row r="301" spans="1:5" x14ac:dyDescent="0.3">
      <c r="A301" t="str">
        <f>TEXT(Table13[[#This Row],[Order_Date]],"mmm-yyyy")</f>
        <v>Aug-2024</v>
      </c>
      <c r="B301" s="6">
        <f>SUMIF(Orders!K:K,A301,Orders!E:E)</f>
        <v>57205.100000000006</v>
      </c>
      <c r="C301" s="6">
        <f t="shared" si="14"/>
        <v>87862.09550000001</v>
      </c>
      <c r="D301" s="6">
        <f t="shared" si="12"/>
        <v>-30656.995500000005</v>
      </c>
      <c r="E301" s="6">
        <f t="shared" si="13"/>
        <v>-34.892174293748781</v>
      </c>
    </row>
    <row r="302" spans="1:5" x14ac:dyDescent="0.3">
      <c r="A302" t="str">
        <f>TEXT(Table13[[#This Row],[Order_Date]],"mmm-yyyy")</f>
        <v>Mar-2023</v>
      </c>
      <c r="B302" s="6">
        <f>SUMIF(Orders!K:K,A302,Orders!E:E)</f>
        <v>54243.0265</v>
      </c>
      <c r="C302" s="6">
        <f t="shared" si="14"/>
        <v>57205.100000000006</v>
      </c>
      <c r="D302" s="6">
        <f t="shared" si="12"/>
        <v>-2962.0735000000059</v>
      </c>
      <c r="E302" s="6">
        <f t="shared" si="13"/>
        <v>-5.1779885010252675</v>
      </c>
    </row>
    <row r="303" spans="1:5" x14ac:dyDescent="0.3">
      <c r="A303" t="str">
        <f>TEXT(Table13[[#This Row],[Order_Date]],"mmm-yyyy")</f>
        <v>Oct-2023</v>
      </c>
      <c r="B303" s="6">
        <f>SUMIF(Orders!K:K,A303,Orders!E:E)</f>
        <v>35673.451500000003</v>
      </c>
      <c r="C303" s="6">
        <f t="shared" si="14"/>
        <v>54243.0265</v>
      </c>
      <c r="D303" s="6">
        <f t="shared" si="12"/>
        <v>-18569.574999999997</v>
      </c>
      <c r="E303" s="6">
        <f t="shared" si="13"/>
        <v>-34.234031908230634</v>
      </c>
    </row>
    <row r="304" spans="1:5" x14ac:dyDescent="0.3">
      <c r="A304" t="str">
        <f>TEXT(Table13[[#This Row],[Order_Date]],"mmm-yyyy")</f>
        <v>Mar-2023</v>
      </c>
      <c r="B304" s="6">
        <f>SUMIF(Orders!K:K,A304,Orders!E:E)</f>
        <v>54243.0265</v>
      </c>
      <c r="C304" s="6">
        <f t="shared" si="14"/>
        <v>35673.451500000003</v>
      </c>
      <c r="D304" s="6">
        <f t="shared" si="12"/>
        <v>18569.574999999997</v>
      </c>
      <c r="E304" s="6">
        <f t="shared" si="13"/>
        <v>52.054326730902375</v>
      </c>
    </row>
    <row r="305" spans="1:5" x14ac:dyDescent="0.3">
      <c r="A305" t="str">
        <f>TEXT(Table13[[#This Row],[Order_Date]],"mmm-yyyy")</f>
        <v>Jan-2025</v>
      </c>
      <c r="B305" s="6">
        <f>SUMIF(Orders!K:K,A305,Orders!E:E)</f>
        <v>34546.360500000003</v>
      </c>
      <c r="C305" s="6">
        <f t="shared" si="14"/>
        <v>54243.0265</v>
      </c>
      <c r="D305" s="6">
        <f t="shared" si="12"/>
        <v>-19696.665999999997</v>
      </c>
      <c r="E305" s="6">
        <f t="shared" si="13"/>
        <v>-36.311886100234467</v>
      </c>
    </row>
    <row r="306" spans="1:5" x14ac:dyDescent="0.3">
      <c r="A306" t="str">
        <f>TEXT(Table13[[#This Row],[Order_Date]],"mmm-yyyy")</f>
        <v>Jan-2024</v>
      </c>
      <c r="B306" s="6">
        <f>SUMIF(Orders!K:K,A306,Orders!E:E)</f>
        <v>63121.498000000007</v>
      </c>
      <c r="C306" s="6">
        <f t="shared" si="14"/>
        <v>34546.360500000003</v>
      </c>
      <c r="D306" s="6">
        <f t="shared" si="12"/>
        <v>28575.137500000004</v>
      </c>
      <c r="E306" s="6">
        <f t="shared" si="13"/>
        <v>82.715334079837447</v>
      </c>
    </row>
    <row r="307" spans="1:5" x14ac:dyDescent="0.3">
      <c r="A307" t="str">
        <f>TEXT(Table13[[#This Row],[Order_Date]],"mmm-yyyy")</f>
        <v>Mar-2025</v>
      </c>
      <c r="B307" s="6">
        <f>SUMIF(Orders!K:K,A307,Orders!E:E)</f>
        <v>68592.676000000007</v>
      </c>
      <c r="C307" s="6">
        <f t="shared" si="14"/>
        <v>63121.498000000007</v>
      </c>
      <c r="D307" s="6">
        <f t="shared" si="12"/>
        <v>5471.1779999999999</v>
      </c>
      <c r="E307" s="6">
        <f t="shared" si="13"/>
        <v>8.6676935328752798</v>
      </c>
    </row>
    <row r="308" spans="1:5" x14ac:dyDescent="0.3">
      <c r="A308" t="str">
        <f>TEXT(Table13[[#This Row],[Order_Date]],"mmm-yyyy")</f>
        <v>Feb-2024</v>
      </c>
      <c r="B308" s="6">
        <f>SUMIF(Orders!K:K,A308,Orders!E:E)</f>
        <v>63420.142</v>
      </c>
      <c r="C308" s="6">
        <f t="shared" si="14"/>
        <v>68592.676000000007</v>
      </c>
      <c r="D308" s="6">
        <f t="shared" si="12"/>
        <v>-5172.5340000000069</v>
      </c>
      <c r="E308" s="6">
        <f t="shared" si="13"/>
        <v>-7.5409421262410099</v>
      </c>
    </row>
    <row r="309" spans="1:5" x14ac:dyDescent="0.3">
      <c r="A309" t="str">
        <f>TEXT(Table13[[#This Row],[Order_Date]],"mmm-yyyy")</f>
        <v>Jun-2024</v>
      </c>
      <c r="B309" s="6">
        <f>SUMIF(Orders!K:K,A309,Orders!E:E)</f>
        <v>28904.2945</v>
      </c>
      <c r="C309" s="6">
        <f t="shared" si="14"/>
        <v>63420.142</v>
      </c>
      <c r="D309" s="6">
        <f t="shared" si="12"/>
        <v>-34515.847500000003</v>
      </c>
      <c r="E309" s="6">
        <f t="shared" si="13"/>
        <v>-54.424109457213142</v>
      </c>
    </row>
    <row r="310" spans="1:5" x14ac:dyDescent="0.3">
      <c r="A310" t="str">
        <f>TEXT(Table13[[#This Row],[Order_Date]],"mmm-yyyy")</f>
        <v>Nov-2023</v>
      </c>
      <c r="B310" s="6">
        <f>SUMIF(Orders!K:K,A310,Orders!E:E)</f>
        <v>87862.09550000001</v>
      </c>
      <c r="C310" s="6">
        <f t="shared" si="14"/>
        <v>28904.2945</v>
      </c>
      <c r="D310" s="6">
        <f t="shared" si="12"/>
        <v>58957.801000000007</v>
      </c>
      <c r="E310" s="6">
        <f t="shared" si="13"/>
        <v>203.97592129432533</v>
      </c>
    </row>
    <row r="311" spans="1:5" x14ac:dyDescent="0.3">
      <c r="A311" t="str">
        <f>TEXT(Table13[[#This Row],[Order_Date]],"mmm-yyyy")</f>
        <v>May-2025</v>
      </c>
      <c r="B311" s="6">
        <f>SUMIF(Orders!K:K,A311,Orders!E:E)</f>
        <v>66561.381000000008</v>
      </c>
      <c r="C311" s="6">
        <f t="shared" si="14"/>
        <v>87862.09550000001</v>
      </c>
      <c r="D311" s="6">
        <f t="shared" si="12"/>
        <v>-21300.714500000002</v>
      </c>
      <c r="E311" s="6">
        <f t="shared" si="13"/>
        <v>-24.243349056021547</v>
      </c>
    </row>
    <row r="312" spans="1:5" x14ac:dyDescent="0.3">
      <c r="A312" t="str">
        <f>TEXT(Table13[[#This Row],[Order_Date]],"mmm-yyyy")</f>
        <v>Mar-2024</v>
      </c>
      <c r="B312" s="6">
        <f>SUMIF(Orders!K:K,A312,Orders!E:E)</f>
        <v>57373.933500000006</v>
      </c>
      <c r="C312" s="6">
        <f t="shared" si="14"/>
        <v>66561.381000000008</v>
      </c>
      <c r="D312" s="6">
        <f t="shared" si="12"/>
        <v>-9187.447500000002</v>
      </c>
      <c r="E312" s="6">
        <f t="shared" si="13"/>
        <v>-13.802970073592673</v>
      </c>
    </row>
    <row r="313" spans="1:5" x14ac:dyDescent="0.3">
      <c r="A313" t="str">
        <f>TEXT(Table13[[#This Row],[Order_Date]],"mmm-yyyy")</f>
        <v>Aug-2023</v>
      </c>
      <c r="B313" s="6">
        <f>SUMIF(Orders!K:K,A313,Orders!E:E)</f>
        <v>58411.780999999995</v>
      </c>
      <c r="C313" s="6">
        <f t="shared" si="14"/>
        <v>57373.933500000006</v>
      </c>
      <c r="D313" s="6">
        <f t="shared" si="12"/>
        <v>1037.8474999999889</v>
      </c>
      <c r="E313" s="6">
        <f t="shared" si="13"/>
        <v>1.8089181561867094</v>
      </c>
    </row>
    <row r="314" spans="1:5" x14ac:dyDescent="0.3">
      <c r="A314" t="str">
        <f>TEXT(Table13[[#This Row],[Order_Date]],"mmm-yyyy")</f>
        <v>Jul-2024</v>
      </c>
      <c r="B314" s="6">
        <f>SUMIF(Orders!K:K,A314,Orders!E:E)</f>
        <v>46499.452500000007</v>
      </c>
      <c r="C314" s="6">
        <f t="shared" si="14"/>
        <v>58411.780999999995</v>
      </c>
      <c r="D314" s="6">
        <f t="shared" si="12"/>
        <v>-11912.328499999989</v>
      </c>
      <c r="E314" s="6">
        <f t="shared" si="13"/>
        <v>-20.393708762278607</v>
      </c>
    </row>
    <row r="315" spans="1:5" x14ac:dyDescent="0.3">
      <c r="A315" t="str">
        <f>TEXT(Table13[[#This Row],[Order_Date]],"mmm-yyyy")</f>
        <v>Dec-2023</v>
      </c>
      <c r="B315" s="6">
        <f>SUMIF(Orders!K:K,A315,Orders!E:E)</f>
        <v>28438.1345</v>
      </c>
      <c r="C315" s="6">
        <f t="shared" si="14"/>
        <v>46499.452500000007</v>
      </c>
      <c r="D315" s="6">
        <f t="shared" si="12"/>
        <v>-18061.318000000007</v>
      </c>
      <c r="E315" s="6">
        <f t="shared" si="13"/>
        <v>-38.842001419264029</v>
      </c>
    </row>
    <row r="316" spans="1:5" x14ac:dyDescent="0.3">
      <c r="A316" t="str">
        <f>TEXT(Table13[[#This Row],[Order_Date]],"mmm-yyyy")</f>
        <v>Jun-2023</v>
      </c>
      <c r="B316" s="6">
        <f>SUMIF(Orders!K:K,A316,Orders!E:E)</f>
        <v>62271.799000000006</v>
      </c>
      <c r="C316" s="6">
        <f t="shared" si="14"/>
        <v>28438.1345</v>
      </c>
      <c r="D316" s="6">
        <f t="shared" si="12"/>
        <v>33833.664500000006</v>
      </c>
      <c r="E316" s="6">
        <f t="shared" si="13"/>
        <v>118.97286898337163</v>
      </c>
    </row>
    <row r="317" spans="1:5" x14ac:dyDescent="0.3">
      <c r="A317" t="str">
        <f>TEXT(Table13[[#This Row],[Order_Date]],"mmm-yyyy")</f>
        <v>Apr-2023</v>
      </c>
      <c r="B317" s="6">
        <f>SUMIF(Orders!K:K,A317,Orders!E:E)</f>
        <v>48464.652999999998</v>
      </c>
      <c r="C317" s="6">
        <f t="shared" si="14"/>
        <v>62271.799000000006</v>
      </c>
      <c r="D317" s="6">
        <f t="shared" si="12"/>
        <v>-13807.146000000008</v>
      </c>
      <c r="E317" s="6">
        <f t="shared" si="13"/>
        <v>-22.172389784338826</v>
      </c>
    </row>
    <row r="318" spans="1:5" x14ac:dyDescent="0.3">
      <c r="A318" t="str">
        <f>TEXT(Table13[[#This Row],[Order_Date]],"mmm-yyyy")</f>
        <v>Dec-2023</v>
      </c>
      <c r="B318" s="6">
        <f>SUMIF(Orders!K:K,A318,Orders!E:E)</f>
        <v>28438.1345</v>
      </c>
      <c r="C318" s="6">
        <f t="shared" si="14"/>
        <v>48464.652999999998</v>
      </c>
      <c r="D318" s="6">
        <f t="shared" si="12"/>
        <v>-20026.518499999998</v>
      </c>
      <c r="E318" s="6">
        <f t="shared" si="13"/>
        <v>-41.321906297358609</v>
      </c>
    </row>
    <row r="319" spans="1:5" x14ac:dyDescent="0.3">
      <c r="A319" t="str">
        <f>TEXT(Table13[[#This Row],[Order_Date]],"mmm-yyyy")</f>
        <v>Oct-2024</v>
      </c>
      <c r="B319" s="6">
        <f>SUMIF(Orders!K:K,A319,Orders!E:E)</f>
        <v>78501.203500000003</v>
      </c>
      <c r="C319" s="6">
        <f t="shared" si="14"/>
        <v>28438.1345</v>
      </c>
      <c r="D319" s="6">
        <f t="shared" si="12"/>
        <v>50063.069000000003</v>
      </c>
      <c r="E319" s="6">
        <f t="shared" si="13"/>
        <v>176.04202905784837</v>
      </c>
    </row>
    <row r="320" spans="1:5" x14ac:dyDescent="0.3">
      <c r="A320" t="str">
        <f>TEXT(Table13[[#This Row],[Order_Date]],"mmm-yyyy")</f>
        <v>May-2023</v>
      </c>
      <c r="B320" s="6">
        <f>SUMIF(Orders!K:K,A320,Orders!E:E)</f>
        <v>73563.426500000001</v>
      </c>
      <c r="C320" s="6">
        <f t="shared" si="14"/>
        <v>78501.203500000003</v>
      </c>
      <c r="D320" s="6">
        <f t="shared" si="12"/>
        <v>-4937.7770000000019</v>
      </c>
      <c r="E320" s="6">
        <f t="shared" si="13"/>
        <v>-6.2900653491255092</v>
      </c>
    </row>
    <row r="321" spans="1:5" x14ac:dyDescent="0.3">
      <c r="A321" t="str">
        <f>TEXT(Table13[[#This Row],[Order_Date]],"mmm-yyyy")</f>
        <v>Apr-2024</v>
      </c>
      <c r="B321" s="6">
        <f>SUMIF(Orders!K:K,A321,Orders!E:E)</f>
        <v>36132.777000000002</v>
      </c>
      <c r="C321" s="6">
        <f t="shared" si="14"/>
        <v>73563.426500000001</v>
      </c>
      <c r="D321" s="6">
        <f t="shared" si="12"/>
        <v>-37430.6495</v>
      </c>
      <c r="E321" s="6">
        <f t="shared" si="13"/>
        <v>-50.882145219268708</v>
      </c>
    </row>
    <row r="322" spans="1:5" x14ac:dyDescent="0.3">
      <c r="A322" t="str">
        <f>TEXT(Table13[[#This Row],[Order_Date]],"mmm-yyyy")</f>
        <v>Oct-2024</v>
      </c>
      <c r="B322" s="6">
        <f>SUMIF(Orders!K:K,A322,Orders!E:E)</f>
        <v>78501.203500000003</v>
      </c>
      <c r="C322" s="6">
        <f t="shared" si="14"/>
        <v>36132.777000000002</v>
      </c>
      <c r="D322" s="6">
        <f t="shared" si="12"/>
        <v>42368.426500000001</v>
      </c>
      <c r="E322" s="6">
        <f t="shared" si="13"/>
        <v>117.25759827427602</v>
      </c>
    </row>
    <row r="323" spans="1:5" x14ac:dyDescent="0.3">
      <c r="A323" t="str">
        <f>TEXT(Table13[[#This Row],[Order_Date]],"mmm-yyyy")</f>
        <v>Feb-2024</v>
      </c>
      <c r="B323" s="6">
        <f>SUMIF(Orders!K:K,A323,Orders!E:E)</f>
        <v>63420.142</v>
      </c>
      <c r="C323" s="6">
        <f t="shared" si="14"/>
        <v>78501.203500000003</v>
      </c>
      <c r="D323" s="6">
        <f t="shared" ref="D323:D386" si="15">B323-C323</f>
        <v>-15081.061500000003</v>
      </c>
      <c r="E323" s="6">
        <f t="shared" ref="E323:E386" si="16">IF(C323=0,0,(D323/C323)*100)</f>
        <v>-19.21124878040883</v>
      </c>
    </row>
    <row r="324" spans="1:5" x14ac:dyDescent="0.3">
      <c r="A324" t="str">
        <f>TEXT(Table13[[#This Row],[Order_Date]],"mmm-yyyy")</f>
        <v>Mar-2024</v>
      </c>
      <c r="B324" s="6">
        <f>SUMIF(Orders!K:K,A324,Orders!E:E)</f>
        <v>57373.933500000006</v>
      </c>
      <c r="C324" s="6">
        <f t="shared" ref="C324:C387" si="17">B323</f>
        <v>63420.142</v>
      </c>
      <c r="D324" s="6">
        <f t="shared" si="15"/>
        <v>-6046.2084999999934</v>
      </c>
      <c r="E324" s="6">
        <f t="shared" si="16"/>
        <v>-9.5335776763161348</v>
      </c>
    </row>
    <row r="325" spans="1:5" x14ac:dyDescent="0.3">
      <c r="A325" t="str">
        <f>TEXT(Table13[[#This Row],[Order_Date]],"mmm-yyyy")</f>
        <v>Apr-2023</v>
      </c>
      <c r="B325" s="6">
        <f>SUMIF(Orders!K:K,A325,Orders!E:E)</f>
        <v>48464.652999999998</v>
      </c>
      <c r="C325" s="6">
        <f t="shared" si="17"/>
        <v>57373.933500000006</v>
      </c>
      <c r="D325" s="6">
        <f t="shared" si="15"/>
        <v>-8909.280500000008</v>
      </c>
      <c r="E325" s="6">
        <f t="shared" si="16"/>
        <v>-15.528446380619881</v>
      </c>
    </row>
    <row r="326" spans="1:5" x14ac:dyDescent="0.3">
      <c r="A326" t="str">
        <f>TEXT(Table13[[#This Row],[Order_Date]],"mmm-yyyy")</f>
        <v>Oct-2024</v>
      </c>
      <c r="B326" s="6">
        <f>SUMIF(Orders!K:K,A326,Orders!E:E)</f>
        <v>78501.203500000003</v>
      </c>
      <c r="C326" s="6">
        <f t="shared" si="17"/>
        <v>48464.652999999998</v>
      </c>
      <c r="D326" s="6">
        <f t="shared" si="15"/>
        <v>30036.550500000005</v>
      </c>
      <c r="E326" s="6">
        <f t="shared" si="16"/>
        <v>61.976200469236844</v>
      </c>
    </row>
    <row r="327" spans="1:5" x14ac:dyDescent="0.3">
      <c r="A327" t="str">
        <f>TEXT(Table13[[#This Row],[Order_Date]],"mmm-yyyy")</f>
        <v>Dec-2023</v>
      </c>
      <c r="B327" s="6">
        <f>SUMIF(Orders!K:K,A327,Orders!E:E)</f>
        <v>28438.1345</v>
      </c>
      <c r="C327" s="6">
        <f t="shared" si="17"/>
        <v>78501.203500000003</v>
      </c>
      <c r="D327" s="6">
        <f t="shared" si="15"/>
        <v>-50063.069000000003</v>
      </c>
      <c r="E327" s="6">
        <f t="shared" si="16"/>
        <v>-63.773632464118847</v>
      </c>
    </row>
    <row r="328" spans="1:5" x14ac:dyDescent="0.3">
      <c r="A328" t="str">
        <f>TEXT(Table13[[#This Row],[Order_Date]],"mmm-yyyy")</f>
        <v>Aug-2023</v>
      </c>
      <c r="B328" s="6">
        <f>SUMIF(Orders!K:K,A328,Orders!E:E)</f>
        <v>58411.780999999995</v>
      </c>
      <c r="C328" s="6">
        <f t="shared" si="17"/>
        <v>28438.1345</v>
      </c>
      <c r="D328" s="6">
        <f t="shared" si="15"/>
        <v>29973.646499999995</v>
      </c>
      <c r="E328" s="6">
        <f t="shared" si="16"/>
        <v>105.39948216364191</v>
      </c>
    </row>
    <row r="329" spans="1:5" x14ac:dyDescent="0.3">
      <c r="A329" t="str">
        <f>TEXT(Table13[[#This Row],[Order_Date]],"mmm-yyyy")</f>
        <v>Sep-2023</v>
      </c>
      <c r="B329" s="6">
        <f>SUMIF(Orders!K:K,A329,Orders!E:E)</f>
        <v>54431.520499999999</v>
      </c>
      <c r="C329" s="6">
        <f t="shared" si="17"/>
        <v>58411.780999999995</v>
      </c>
      <c r="D329" s="6">
        <f t="shared" si="15"/>
        <v>-3980.2604999999967</v>
      </c>
      <c r="E329" s="6">
        <f t="shared" si="16"/>
        <v>-6.8141399420777748</v>
      </c>
    </row>
    <row r="330" spans="1:5" x14ac:dyDescent="0.3">
      <c r="A330" t="str">
        <f>TEXT(Table13[[#This Row],[Order_Date]],"mmm-yyyy")</f>
        <v>Feb-2023</v>
      </c>
      <c r="B330" s="6">
        <f>SUMIF(Orders!K:K,A330,Orders!E:E)</f>
        <v>31599.2045</v>
      </c>
      <c r="C330" s="6">
        <f t="shared" si="17"/>
        <v>54431.520499999999</v>
      </c>
      <c r="D330" s="6">
        <f t="shared" si="15"/>
        <v>-22832.315999999999</v>
      </c>
      <c r="E330" s="6">
        <f t="shared" si="16"/>
        <v>-41.946864225481264</v>
      </c>
    </row>
    <row r="331" spans="1:5" x14ac:dyDescent="0.3">
      <c r="A331" t="str">
        <f>TEXT(Table13[[#This Row],[Order_Date]],"mmm-yyyy")</f>
        <v>Jan-2024</v>
      </c>
      <c r="B331" s="6">
        <f>SUMIF(Orders!K:K,A331,Orders!E:E)</f>
        <v>63121.498000000007</v>
      </c>
      <c r="C331" s="6">
        <f t="shared" si="17"/>
        <v>31599.2045</v>
      </c>
      <c r="D331" s="6">
        <f t="shared" si="15"/>
        <v>31522.293500000007</v>
      </c>
      <c r="E331" s="6">
        <f t="shared" si="16"/>
        <v>99.756604632246379</v>
      </c>
    </row>
    <row r="332" spans="1:5" x14ac:dyDescent="0.3">
      <c r="A332" t="str">
        <f>TEXT(Table13[[#This Row],[Order_Date]],"mmm-yyyy")</f>
        <v>Jun-2025</v>
      </c>
      <c r="B332" s="6">
        <f>SUMIF(Orders!K:K,A332,Orders!E:E)</f>
        <v>28111.332999999999</v>
      </c>
      <c r="C332" s="6">
        <f t="shared" si="17"/>
        <v>63121.498000000007</v>
      </c>
      <c r="D332" s="6">
        <f t="shared" si="15"/>
        <v>-35010.165000000008</v>
      </c>
      <c r="E332" s="6">
        <f t="shared" si="16"/>
        <v>-55.464724553907139</v>
      </c>
    </row>
    <row r="333" spans="1:5" x14ac:dyDescent="0.3">
      <c r="A333" t="str">
        <f>TEXT(Table13[[#This Row],[Order_Date]],"mmm-yyyy")</f>
        <v>Sep-2024</v>
      </c>
      <c r="B333" s="6">
        <f>SUMIF(Orders!K:K,A333,Orders!E:E)</f>
        <v>34965.875500000002</v>
      </c>
      <c r="C333" s="6">
        <f t="shared" si="17"/>
        <v>28111.332999999999</v>
      </c>
      <c r="D333" s="6">
        <f t="shared" si="15"/>
        <v>6854.5425000000032</v>
      </c>
      <c r="E333" s="6">
        <f t="shared" si="16"/>
        <v>24.383555557468597</v>
      </c>
    </row>
    <row r="334" spans="1:5" x14ac:dyDescent="0.3">
      <c r="A334" t="str">
        <f>TEXT(Table13[[#This Row],[Order_Date]],"mmm-yyyy")</f>
        <v>May-2023</v>
      </c>
      <c r="B334" s="6">
        <f>SUMIF(Orders!K:K,A334,Orders!E:E)</f>
        <v>73563.426500000001</v>
      </c>
      <c r="C334" s="6">
        <f t="shared" si="17"/>
        <v>34965.875500000002</v>
      </c>
      <c r="D334" s="6">
        <f t="shared" si="15"/>
        <v>38597.550999999999</v>
      </c>
      <c r="E334" s="6">
        <f t="shared" si="16"/>
        <v>110.38634224960275</v>
      </c>
    </row>
    <row r="335" spans="1:5" x14ac:dyDescent="0.3">
      <c r="A335" t="str">
        <f>TEXT(Table13[[#This Row],[Order_Date]],"mmm-yyyy")</f>
        <v>Sep-2024</v>
      </c>
      <c r="B335" s="6">
        <f>SUMIF(Orders!K:K,A335,Orders!E:E)</f>
        <v>34965.875500000002</v>
      </c>
      <c r="C335" s="6">
        <f t="shared" si="17"/>
        <v>73563.426500000001</v>
      </c>
      <c r="D335" s="6">
        <f t="shared" si="15"/>
        <v>-38597.550999999999</v>
      </c>
      <c r="E335" s="6">
        <f t="shared" si="16"/>
        <v>-52.468397458348406</v>
      </c>
    </row>
    <row r="336" spans="1:5" x14ac:dyDescent="0.3">
      <c r="A336" t="str">
        <f>TEXT(Table13[[#This Row],[Order_Date]],"mmm-yyyy")</f>
        <v>Feb-2023</v>
      </c>
      <c r="B336" s="6">
        <f>SUMIF(Orders!K:K,A336,Orders!E:E)</f>
        <v>31599.2045</v>
      </c>
      <c r="C336" s="6">
        <f t="shared" si="17"/>
        <v>34965.875500000002</v>
      </c>
      <c r="D336" s="6">
        <f t="shared" si="15"/>
        <v>-3366.6710000000021</v>
      </c>
      <c r="E336" s="6">
        <f t="shared" si="16"/>
        <v>-9.6284475988596423</v>
      </c>
    </row>
    <row r="337" spans="1:5" x14ac:dyDescent="0.3">
      <c r="A337" t="str">
        <f>TEXT(Table13[[#This Row],[Order_Date]],"mmm-yyyy")</f>
        <v>Jun-2024</v>
      </c>
      <c r="B337" s="6">
        <f>SUMIF(Orders!K:K,A337,Orders!E:E)</f>
        <v>28904.2945</v>
      </c>
      <c r="C337" s="6">
        <f t="shared" si="17"/>
        <v>31599.2045</v>
      </c>
      <c r="D337" s="6">
        <f t="shared" si="15"/>
        <v>-2694.91</v>
      </c>
      <c r="E337" s="6">
        <f t="shared" si="16"/>
        <v>-8.5284108971793895</v>
      </c>
    </row>
    <row r="338" spans="1:5" x14ac:dyDescent="0.3">
      <c r="A338" t="str">
        <f>TEXT(Table13[[#This Row],[Order_Date]],"mmm-yyyy")</f>
        <v>Mar-2024</v>
      </c>
      <c r="B338" s="6">
        <f>SUMIF(Orders!K:K,A338,Orders!E:E)</f>
        <v>57373.933500000006</v>
      </c>
      <c r="C338" s="6">
        <f t="shared" si="17"/>
        <v>28904.2945</v>
      </c>
      <c r="D338" s="6">
        <f t="shared" si="15"/>
        <v>28469.639000000006</v>
      </c>
      <c r="E338" s="6">
        <f t="shared" si="16"/>
        <v>98.4962251889594</v>
      </c>
    </row>
    <row r="339" spans="1:5" x14ac:dyDescent="0.3">
      <c r="A339" t="str">
        <f>TEXT(Table13[[#This Row],[Order_Date]],"mmm-yyyy")</f>
        <v>Aug-2024</v>
      </c>
      <c r="B339" s="6">
        <f>SUMIF(Orders!K:K,A339,Orders!E:E)</f>
        <v>57205.100000000006</v>
      </c>
      <c r="C339" s="6">
        <f t="shared" si="17"/>
        <v>57373.933500000006</v>
      </c>
      <c r="D339" s="6">
        <f t="shared" si="15"/>
        <v>-168.83350000000064</v>
      </c>
      <c r="E339" s="6">
        <f t="shared" si="16"/>
        <v>-0.29426865076280784</v>
      </c>
    </row>
    <row r="340" spans="1:5" x14ac:dyDescent="0.3">
      <c r="A340" t="str">
        <f>TEXT(Table13[[#This Row],[Order_Date]],"mmm-yyyy")</f>
        <v>Jan-2024</v>
      </c>
      <c r="B340" s="6">
        <f>SUMIF(Orders!K:K,A340,Orders!E:E)</f>
        <v>63121.498000000007</v>
      </c>
      <c r="C340" s="6">
        <f t="shared" si="17"/>
        <v>57205.100000000006</v>
      </c>
      <c r="D340" s="6">
        <f t="shared" si="15"/>
        <v>5916.398000000001</v>
      </c>
      <c r="E340" s="6">
        <f t="shared" si="16"/>
        <v>10.342431007025599</v>
      </c>
    </row>
    <row r="341" spans="1:5" x14ac:dyDescent="0.3">
      <c r="A341" t="str">
        <f>TEXT(Table13[[#This Row],[Order_Date]],"mmm-yyyy")</f>
        <v>May-2024</v>
      </c>
      <c r="B341" s="6">
        <f>SUMIF(Orders!K:K,A341,Orders!E:E)</f>
        <v>161169.386</v>
      </c>
      <c r="C341" s="6">
        <f t="shared" si="17"/>
        <v>63121.498000000007</v>
      </c>
      <c r="D341" s="6">
        <f t="shared" si="15"/>
        <v>98047.887999999992</v>
      </c>
      <c r="E341" s="6">
        <f t="shared" si="16"/>
        <v>155.33200431966932</v>
      </c>
    </row>
    <row r="342" spans="1:5" x14ac:dyDescent="0.3">
      <c r="A342" t="str">
        <f>TEXT(Table13[[#This Row],[Order_Date]],"mmm-yyyy")</f>
        <v>Jun-2024</v>
      </c>
      <c r="B342" s="6">
        <f>SUMIF(Orders!K:K,A342,Orders!E:E)</f>
        <v>28904.2945</v>
      </c>
      <c r="C342" s="6">
        <f t="shared" si="17"/>
        <v>161169.386</v>
      </c>
      <c r="D342" s="6">
        <f t="shared" si="15"/>
        <v>-132265.09150000001</v>
      </c>
      <c r="E342" s="6">
        <f t="shared" si="16"/>
        <v>-82.065890292589444</v>
      </c>
    </row>
    <row r="343" spans="1:5" x14ac:dyDescent="0.3">
      <c r="A343" t="str">
        <f>TEXT(Table13[[#This Row],[Order_Date]],"mmm-yyyy")</f>
        <v>Jan-2024</v>
      </c>
      <c r="B343" s="6">
        <f>SUMIF(Orders!K:K,A343,Orders!E:E)</f>
        <v>63121.498000000007</v>
      </c>
      <c r="C343" s="6">
        <f t="shared" si="17"/>
        <v>28904.2945</v>
      </c>
      <c r="D343" s="6">
        <f t="shared" si="15"/>
        <v>34217.203500000003</v>
      </c>
      <c r="E343" s="6">
        <f t="shared" si="16"/>
        <v>118.38103676946692</v>
      </c>
    </row>
    <row r="344" spans="1:5" x14ac:dyDescent="0.3">
      <c r="A344" t="str">
        <f>TEXT(Table13[[#This Row],[Order_Date]],"mmm-yyyy")</f>
        <v>Jul-2024</v>
      </c>
      <c r="B344" s="6">
        <f>SUMIF(Orders!K:K,A344,Orders!E:E)</f>
        <v>46499.452500000007</v>
      </c>
      <c r="C344" s="6">
        <f t="shared" si="17"/>
        <v>63121.498000000007</v>
      </c>
      <c r="D344" s="6">
        <f t="shared" si="15"/>
        <v>-16622.0455</v>
      </c>
      <c r="E344" s="6">
        <f t="shared" si="16"/>
        <v>-26.333414172141477</v>
      </c>
    </row>
    <row r="345" spans="1:5" x14ac:dyDescent="0.3">
      <c r="A345" t="str">
        <f>TEXT(Table13[[#This Row],[Order_Date]],"mmm-yyyy")</f>
        <v>Nov-2023</v>
      </c>
      <c r="B345" s="6">
        <f>SUMIF(Orders!K:K,A345,Orders!E:E)</f>
        <v>87862.09550000001</v>
      </c>
      <c r="C345" s="6">
        <f t="shared" si="17"/>
        <v>46499.452500000007</v>
      </c>
      <c r="D345" s="6">
        <f t="shared" si="15"/>
        <v>41362.643000000004</v>
      </c>
      <c r="E345" s="6">
        <f t="shared" si="16"/>
        <v>88.952967779566862</v>
      </c>
    </row>
    <row r="346" spans="1:5" x14ac:dyDescent="0.3">
      <c r="A346" t="str">
        <f>TEXT(Table13[[#This Row],[Order_Date]],"mmm-yyyy")</f>
        <v>Dec-2024</v>
      </c>
      <c r="B346" s="6">
        <f>SUMIF(Orders!K:K,A346,Orders!E:E)</f>
        <v>27646.277000000002</v>
      </c>
      <c r="C346" s="6">
        <f t="shared" si="17"/>
        <v>87862.09550000001</v>
      </c>
      <c r="D346" s="6">
        <f t="shared" si="15"/>
        <v>-60215.818500000008</v>
      </c>
      <c r="E346" s="6">
        <f t="shared" si="16"/>
        <v>-68.534466606251158</v>
      </c>
    </row>
    <row r="347" spans="1:5" x14ac:dyDescent="0.3">
      <c r="A347" t="str">
        <f>TEXT(Table13[[#This Row],[Order_Date]],"mmm-yyyy")</f>
        <v>May-2023</v>
      </c>
      <c r="B347" s="6">
        <f>SUMIF(Orders!K:K,A347,Orders!E:E)</f>
        <v>73563.426500000001</v>
      </c>
      <c r="C347" s="6">
        <f t="shared" si="17"/>
        <v>27646.277000000002</v>
      </c>
      <c r="D347" s="6">
        <f t="shared" si="15"/>
        <v>45917.1495</v>
      </c>
      <c r="E347" s="6">
        <f t="shared" si="16"/>
        <v>166.08800345883822</v>
      </c>
    </row>
    <row r="348" spans="1:5" x14ac:dyDescent="0.3">
      <c r="A348" t="str">
        <f>TEXT(Table13[[#This Row],[Order_Date]],"mmm-yyyy")</f>
        <v>Aug-2023</v>
      </c>
      <c r="B348" s="6">
        <f>SUMIF(Orders!K:K,A348,Orders!E:E)</f>
        <v>58411.780999999995</v>
      </c>
      <c r="C348" s="6">
        <f t="shared" si="17"/>
        <v>73563.426500000001</v>
      </c>
      <c r="D348" s="6">
        <f t="shared" si="15"/>
        <v>-15151.645500000006</v>
      </c>
      <c r="E348" s="6">
        <f t="shared" si="16"/>
        <v>-20.596709833792211</v>
      </c>
    </row>
    <row r="349" spans="1:5" x14ac:dyDescent="0.3">
      <c r="A349" t="str">
        <f>TEXT(Table13[[#This Row],[Order_Date]],"mmm-yyyy")</f>
        <v>Mar-2025</v>
      </c>
      <c r="B349" s="6">
        <f>SUMIF(Orders!K:K,A349,Orders!E:E)</f>
        <v>68592.676000000007</v>
      </c>
      <c r="C349" s="6">
        <f t="shared" si="17"/>
        <v>58411.780999999995</v>
      </c>
      <c r="D349" s="6">
        <f t="shared" si="15"/>
        <v>10180.895000000011</v>
      </c>
      <c r="E349" s="6">
        <f t="shared" si="16"/>
        <v>17.429523335369645</v>
      </c>
    </row>
    <row r="350" spans="1:5" x14ac:dyDescent="0.3">
      <c r="A350" t="str">
        <f>TEXT(Table13[[#This Row],[Order_Date]],"mmm-yyyy")</f>
        <v>Dec-2024</v>
      </c>
      <c r="B350" s="6">
        <f>SUMIF(Orders!K:K,A350,Orders!E:E)</f>
        <v>27646.277000000002</v>
      </c>
      <c r="C350" s="6">
        <f t="shared" si="17"/>
        <v>68592.676000000007</v>
      </c>
      <c r="D350" s="6">
        <f t="shared" si="15"/>
        <v>-40946.399000000005</v>
      </c>
      <c r="E350" s="6">
        <f t="shared" si="16"/>
        <v>-59.695001547978677</v>
      </c>
    </row>
    <row r="351" spans="1:5" x14ac:dyDescent="0.3">
      <c r="A351" t="str">
        <f>TEXT(Table13[[#This Row],[Order_Date]],"mmm-yyyy")</f>
        <v>Jul-2023</v>
      </c>
      <c r="B351" s="6">
        <f>SUMIF(Orders!K:K,A351,Orders!E:E)</f>
        <v>64908.902500000004</v>
      </c>
      <c r="C351" s="6">
        <f t="shared" si="17"/>
        <v>27646.277000000002</v>
      </c>
      <c r="D351" s="6">
        <f t="shared" si="15"/>
        <v>37262.625500000002</v>
      </c>
      <c r="E351" s="6">
        <f t="shared" si="16"/>
        <v>134.78352076122221</v>
      </c>
    </row>
    <row r="352" spans="1:5" x14ac:dyDescent="0.3">
      <c r="A352" t="str">
        <f>TEXT(Table13[[#This Row],[Order_Date]],"mmm-yyyy")</f>
        <v>Dec-2023</v>
      </c>
      <c r="B352" s="6">
        <f>SUMIF(Orders!K:K,A352,Orders!E:E)</f>
        <v>28438.1345</v>
      </c>
      <c r="C352" s="6">
        <f t="shared" si="17"/>
        <v>64908.902500000004</v>
      </c>
      <c r="D352" s="6">
        <f t="shared" si="15"/>
        <v>-36470.768000000004</v>
      </c>
      <c r="E352" s="6">
        <f t="shared" si="16"/>
        <v>-56.187620796700422</v>
      </c>
    </row>
    <row r="353" spans="1:5" x14ac:dyDescent="0.3">
      <c r="A353" t="str">
        <f>TEXT(Table13[[#This Row],[Order_Date]],"mmm-yyyy")</f>
        <v>Apr-2024</v>
      </c>
      <c r="B353" s="6">
        <f>SUMIF(Orders!K:K,A353,Orders!E:E)</f>
        <v>36132.777000000002</v>
      </c>
      <c r="C353" s="6">
        <f t="shared" si="17"/>
        <v>28438.1345</v>
      </c>
      <c r="D353" s="6">
        <f t="shared" si="15"/>
        <v>7694.6425000000017</v>
      </c>
      <c r="E353" s="6">
        <f t="shared" si="16"/>
        <v>27.057479807615376</v>
      </c>
    </row>
    <row r="354" spans="1:5" x14ac:dyDescent="0.3">
      <c r="A354" t="str">
        <f>TEXT(Table13[[#This Row],[Order_Date]],"mmm-yyyy")</f>
        <v>Apr-2025</v>
      </c>
      <c r="B354" s="6">
        <f>SUMIF(Orders!K:K,A354,Orders!E:E)</f>
        <v>36156.792499999996</v>
      </c>
      <c r="C354" s="6">
        <f t="shared" si="17"/>
        <v>36132.777000000002</v>
      </c>
      <c r="D354" s="6">
        <f t="shared" si="15"/>
        <v>24.015499999994063</v>
      </c>
      <c r="E354" s="6">
        <f t="shared" si="16"/>
        <v>6.6464584219458306E-2</v>
      </c>
    </row>
    <row r="355" spans="1:5" x14ac:dyDescent="0.3">
      <c r="A355" t="str">
        <f>TEXT(Table13[[#This Row],[Order_Date]],"mmm-yyyy")</f>
        <v>Sep-2023</v>
      </c>
      <c r="B355" s="6">
        <f>SUMIF(Orders!K:K,A355,Orders!E:E)</f>
        <v>54431.520499999999</v>
      </c>
      <c r="C355" s="6">
        <f t="shared" si="17"/>
        <v>36156.792499999996</v>
      </c>
      <c r="D355" s="6">
        <f t="shared" si="15"/>
        <v>18274.728000000003</v>
      </c>
      <c r="E355" s="6">
        <f t="shared" si="16"/>
        <v>50.543001014263098</v>
      </c>
    </row>
    <row r="356" spans="1:5" x14ac:dyDescent="0.3">
      <c r="A356" t="str">
        <f>TEXT(Table13[[#This Row],[Order_Date]],"mmm-yyyy")</f>
        <v>Oct-2024</v>
      </c>
      <c r="B356" s="6">
        <f>SUMIF(Orders!K:K,A356,Orders!E:E)</f>
        <v>78501.203500000003</v>
      </c>
      <c r="C356" s="6">
        <f t="shared" si="17"/>
        <v>54431.520499999999</v>
      </c>
      <c r="D356" s="6">
        <f t="shared" si="15"/>
        <v>24069.683000000005</v>
      </c>
      <c r="E356" s="6">
        <f t="shared" si="16"/>
        <v>44.220118745350881</v>
      </c>
    </row>
    <row r="357" spans="1:5" x14ac:dyDescent="0.3">
      <c r="A357" t="str">
        <f>TEXT(Table13[[#This Row],[Order_Date]],"mmm-yyyy")</f>
        <v>Mar-2023</v>
      </c>
      <c r="B357" s="6">
        <f>SUMIF(Orders!K:K,A357,Orders!E:E)</f>
        <v>54243.0265</v>
      </c>
      <c r="C357" s="6">
        <f t="shared" si="17"/>
        <v>78501.203500000003</v>
      </c>
      <c r="D357" s="6">
        <f t="shared" si="15"/>
        <v>-24258.177000000003</v>
      </c>
      <c r="E357" s="6">
        <f t="shared" si="16"/>
        <v>-30.90166254584874</v>
      </c>
    </row>
    <row r="358" spans="1:5" x14ac:dyDescent="0.3">
      <c r="A358" t="str">
        <f>TEXT(Table13[[#This Row],[Order_Date]],"mmm-yyyy")</f>
        <v>Mar-2025</v>
      </c>
      <c r="B358" s="6">
        <f>SUMIF(Orders!K:K,A358,Orders!E:E)</f>
        <v>68592.676000000007</v>
      </c>
      <c r="C358" s="6">
        <f t="shared" si="17"/>
        <v>54243.0265</v>
      </c>
      <c r="D358" s="6">
        <f t="shared" si="15"/>
        <v>14349.649500000007</v>
      </c>
      <c r="E358" s="6">
        <f t="shared" si="16"/>
        <v>26.454367364623373</v>
      </c>
    </row>
    <row r="359" spans="1:5" x14ac:dyDescent="0.3">
      <c r="A359" t="str">
        <f>TEXT(Table13[[#This Row],[Order_Date]],"mmm-yyyy")</f>
        <v>Aug-2023</v>
      </c>
      <c r="B359" s="6">
        <f>SUMIF(Orders!K:K,A359,Orders!E:E)</f>
        <v>58411.780999999995</v>
      </c>
      <c r="C359" s="6">
        <f t="shared" si="17"/>
        <v>68592.676000000007</v>
      </c>
      <c r="D359" s="6">
        <f t="shared" si="15"/>
        <v>-10180.895000000011</v>
      </c>
      <c r="E359" s="6">
        <f t="shared" si="16"/>
        <v>-14.842539457128062</v>
      </c>
    </row>
    <row r="360" spans="1:5" x14ac:dyDescent="0.3">
      <c r="A360" t="str">
        <f>TEXT(Table13[[#This Row],[Order_Date]],"mmm-yyyy")</f>
        <v>Jul-2023</v>
      </c>
      <c r="B360" s="6">
        <f>SUMIF(Orders!K:K,A360,Orders!E:E)</f>
        <v>64908.902500000004</v>
      </c>
      <c r="C360" s="6">
        <f t="shared" si="17"/>
        <v>58411.780999999995</v>
      </c>
      <c r="D360" s="6">
        <f t="shared" si="15"/>
        <v>6497.1215000000084</v>
      </c>
      <c r="E360" s="6">
        <f t="shared" si="16"/>
        <v>11.122964218468203</v>
      </c>
    </row>
    <row r="361" spans="1:5" x14ac:dyDescent="0.3">
      <c r="A361" t="str">
        <f>TEXT(Table13[[#This Row],[Order_Date]],"mmm-yyyy")</f>
        <v>Feb-2025</v>
      </c>
      <c r="B361" s="6">
        <f>SUMIF(Orders!K:K,A361,Orders!E:E)</f>
        <v>43736.824500000002</v>
      </c>
      <c r="C361" s="6">
        <f t="shared" si="17"/>
        <v>64908.902500000004</v>
      </c>
      <c r="D361" s="6">
        <f t="shared" si="15"/>
        <v>-21172.078000000001</v>
      </c>
      <c r="E361" s="6">
        <f t="shared" si="16"/>
        <v>-32.618142018346404</v>
      </c>
    </row>
    <row r="362" spans="1:5" x14ac:dyDescent="0.3">
      <c r="A362" t="str">
        <f>TEXT(Table13[[#This Row],[Order_Date]],"mmm-yyyy")</f>
        <v>Apr-2025</v>
      </c>
      <c r="B362" s="6">
        <f>SUMIF(Orders!K:K,A362,Orders!E:E)</f>
        <v>36156.792499999996</v>
      </c>
      <c r="C362" s="6">
        <f t="shared" si="17"/>
        <v>43736.824500000002</v>
      </c>
      <c r="D362" s="6">
        <f t="shared" si="15"/>
        <v>-7580.0320000000065</v>
      </c>
      <c r="E362" s="6">
        <f t="shared" si="16"/>
        <v>-17.331006735525591</v>
      </c>
    </row>
    <row r="363" spans="1:5" x14ac:dyDescent="0.3">
      <c r="A363" t="str">
        <f>TEXT(Table13[[#This Row],[Order_Date]],"mmm-yyyy")</f>
        <v>Jun-2025</v>
      </c>
      <c r="B363" s="6">
        <f>SUMIF(Orders!K:K,A363,Orders!E:E)</f>
        <v>28111.332999999999</v>
      </c>
      <c r="C363" s="6">
        <f t="shared" si="17"/>
        <v>36156.792499999996</v>
      </c>
      <c r="D363" s="6">
        <f t="shared" si="15"/>
        <v>-8045.4594999999972</v>
      </c>
      <c r="E363" s="6">
        <f t="shared" si="16"/>
        <v>-22.251585231184425</v>
      </c>
    </row>
    <row r="364" spans="1:5" x14ac:dyDescent="0.3">
      <c r="A364" t="str">
        <f>TEXT(Table13[[#This Row],[Order_Date]],"mmm-yyyy")</f>
        <v>Oct-2024</v>
      </c>
      <c r="B364" s="6">
        <f>SUMIF(Orders!K:K,A364,Orders!E:E)</f>
        <v>78501.203500000003</v>
      </c>
      <c r="C364" s="6">
        <f t="shared" si="17"/>
        <v>28111.332999999999</v>
      </c>
      <c r="D364" s="6">
        <f t="shared" si="15"/>
        <v>50389.870500000005</v>
      </c>
      <c r="E364" s="6">
        <f t="shared" si="16"/>
        <v>179.25108887579256</v>
      </c>
    </row>
    <row r="365" spans="1:5" x14ac:dyDescent="0.3">
      <c r="A365" t="str">
        <f>TEXT(Table13[[#This Row],[Order_Date]],"mmm-yyyy")</f>
        <v>Jun-2023</v>
      </c>
      <c r="B365" s="6">
        <f>SUMIF(Orders!K:K,A365,Orders!E:E)</f>
        <v>62271.799000000006</v>
      </c>
      <c r="C365" s="6">
        <f t="shared" si="17"/>
        <v>78501.203500000003</v>
      </c>
      <c r="D365" s="6">
        <f t="shared" si="15"/>
        <v>-16229.404499999997</v>
      </c>
      <c r="E365" s="6">
        <f t="shared" si="16"/>
        <v>-20.674083678220292</v>
      </c>
    </row>
    <row r="366" spans="1:5" x14ac:dyDescent="0.3">
      <c r="A366" t="str">
        <f>TEXT(Table13[[#This Row],[Order_Date]],"mmm-yyyy")</f>
        <v>May-2025</v>
      </c>
      <c r="B366" s="6">
        <f>SUMIF(Orders!K:K,A366,Orders!E:E)</f>
        <v>66561.381000000008</v>
      </c>
      <c r="C366" s="6">
        <f t="shared" si="17"/>
        <v>62271.799000000006</v>
      </c>
      <c r="D366" s="6">
        <f t="shared" si="15"/>
        <v>4289.5820000000022</v>
      </c>
      <c r="E366" s="6">
        <f t="shared" si="16"/>
        <v>6.8884825376572172</v>
      </c>
    </row>
    <row r="367" spans="1:5" x14ac:dyDescent="0.3">
      <c r="A367" t="str">
        <f>TEXT(Table13[[#This Row],[Order_Date]],"mmm-yyyy")</f>
        <v>Oct-2023</v>
      </c>
      <c r="B367" s="6">
        <f>SUMIF(Orders!K:K,A367,Orders!E:E)</f>
        <v>35673.451500000003</v>
      </c>
      <c r="C367" s="6">
        <f t="shared" si="17"/>
        <v>66561.381000000008</v>
      </c>
      <c r="D367" s="6">
        <f t="shared" si="15"/>
        <v>-30887.929500000006</v>
      </c>
      <c r="E367" s="6">
        <f t="shared" si="16"/>
        <v>-46.405181256680962</v>
      </c>
    </row>
    <row r="368" spans="1:5" x14ac:dyDescent="0.3">
      <c r="A368" t="str">
        <f>TEXT(Table13[[#This Row],[Order_Date]],"mmm-yyyy")</f>
        <v>Mar-2025</v>
      </c>
      <c r="B368" s="6">
        <f>SUMIF(Orders!K:K,A368,Orders!E:E)</f>
        <v>68592.676000000007</v>
      </c>
      <c r="C368" s="6">
        <f t="shared" si="17"/>
        <v>35673.451500000003</v>
      </c>
      <c r="D368" s="6">
        <f t="shared" si="15"/>
        <v>32919.224500000004</v>
      </c>
      <c r="E368" s="6">
        <f t="shared" si="16"/>
        <v>92.279336918100014</v>
      </c>
    </row>
    <row r="369" spans="1:5" x14ac:dyDescent="0.3">
      <c r="A369" t="str">
        <f>TEXT(Table13[[#This Row],[Order_Date]],"mmm-yyyy")</f>
        <v>Jun-2023</v>
      </c>
      <c r="B369" s="6">
        <f>SUMIF(Orders!K:K,A369,Orders!E:E)</f>
        <v>62271.799000000006</v>
      </c>
      <c r="C369" s="6">
        <f t="shared" si="17"/>
        <v>68592.676000000007</v>
      </c>
      <c r="D369" s="6">
        <f t="shared" si="15"/>
        <v>-6320.8770000000004</v>
      </c>
      <c r="E369" s="6">
        <f t="shared" si="16"/>
        <v>-9.2150902524928462</v>
      </c>
    </row>
    <row r="370" spans="1:5" x14ac:dyDescent="0.3">
      <c r="A370" t="str">
        <f>TEXT(Table13[[#This Row],[Order_Date]],"mmm-yyyy")</f>
        <v>Nov-2024</v>
      </c>
      <c r="B370" s="6">
        <f>SUMIF(Orders!K:K,A370,Orders!E:E)</f>
        <v>44725.173500000004</v>
      </c>
      <c r="C370" s="6">
        <f t="shared" si="17"/>
        <v>62271.799000000006</v>
      </c>
      <c r="D370" s="6">
        <f t="shared" si="15"/>
        <v>-17546.625500000002</v>
      </c>
      <c r="E370" s="6">
        <f t="shared" si="16"/>
        <v>-28.17748287631774</v>
      </c>
    </row>
    <row r="371" spans="1:5" x14ac:dyDescent="0.3">
      <c r="A371" t="str">
        <f>TEXT(Table13[[#This Row],[Order_Date]],"mmm-yyyy")</f>
        <v>Aug-2025</v>
      </c>
      <c r="B371" s="6">
        <f>SUMIF(Orders!K:K,A371,Orders!E:E)</f>
        <v>7924.0545000000002</v>
      </c>
      <c r="C371" s="6">
        <f t="shared" si="17"/>
        <v>44725.173500000004</v>
      </c>
      <c r="D371" s="6">
        <f t="shared" si="15"/>
        <v>-36801.119000000006</v>
      </c>
      <c r="E371" s="6">
        <f t="shared" si="16"/>
        <v>-82.282786449112379</v>
      </c>
    </row>
    <row r="372" spans="1:5" x14ac:dyDescent="0.3">
      <c r="A372" t="str">
        <f>TEXT(Table13[[#This Row],[Order_Date]],"mmm-yyyy")</f>
        <v>Dec-2024</v>
      </c>
      <c r="B372" s="6">
        <f>SUMIF(Orders!K:K,A372,Orders!E:E)</f>
        <v>27646.277000000002</v>
      </c>
      <c r="C372" s="6">
        <f t="shared" si="17"/>
        <v>7924.0545000000002</v>
      </c>
      <c r="D372" s="6">
        <f t="shared" si="15"/>
        <v>19722.222500000003</v>
      </c>
      <c r="E372" s="6">
        <f t="shared" si="16"/>
        <v>248.89054586891098</v>
      </c>
    </row>
    <row r="373" spans="1:5" x14ac:dyDescent="0.3">
      <c r="A373" t="str">
        <f>TEXT(Table13[[#This Row],[Order_Date]],"mmm-yyyy")</f>
        <v>Mar-2023</v>
      </c>
      <c r="B373" s="6">
        <f>SUMIF(Orders!K:K,A373,Orders!E:E)</f>
        <v>54243.0265</v>
      </c>
      <c r="C373" s="6">
        <f t="shared" si="17"/>
        <v>27646.277000000002</v>
      </c>
      <c r="D373" s="6">
        <f t="shared" si="15"/>
        <v>26596.749499999998</v>
      </c>
      <c r="E373" s="6">
        <f t="shared" si="16"/>
        <v>96.203729348439921</v>
      </c>
    </row>
    <row r="374" spans="1:5" x14ac:dyDescent="0.3">
      <c r="A374" t="str">
        <f>TEXT(Table13[[#This Row],[Order_Date]],"mmm-yyyy")</f>
        <v>Jan-2023</v>
      </c>
      <c r="B374" s="6">
        <f>SUMIF(Orders!K:K,A374,Orders!E:E)</f>
        <v>36342.019</v>
      </c>
      <c r="C374" s="6">
        <f t="shared" si="17"/>
        <v>54243.0265</v>
      </c>
      <c r="D374" s="6">
        <f t="shared" si="15"/>
        <v>-17901.0075</v>
      </c>
      <c r="E374" s="6">
        <f t="shared" si="16"/>
        <v>-33.001490984283485</v>
      </c>
    </row>
    <row r="375" spans="1:5" x14ac:dyDescent="0.3">
      <c r="A375" t="str">
        <f>TEXT(Table13[[#This Row],[Order_Date]],"mmm-yyyy")</f>
        <v>Apr-2025</v>
      </c>
      <c r="B375" s="6">
        <f>SUMIF(Orders!K:K,A375,Orders!E:E)</f>
        <v>36156.792499999996</v>
      </c>
      <c r="C375" s="6">
        <f t="shared" si="17"/>
        <v>36342.019</v>
      </c>
      <c r="D375" s="6">
        <f t="shared" si="15"/>
        <v>-185.22650000000431</v>
      </c>
      <c r="E375" s="6">
        <f t="shared" si="16"/>
        <v>-0.5096758658345435</v>
      </c>
    </row>
    <row r="376" spans="1:5" x14ac:dyDescent="0.3">
      <c r="A376" t="str">
        <f>TEXT(Table13[[#This Row],[Order_Date]],"mmm-yyyy")</f>
        <v>Mar-2025</v>
      </c>
      <c r="B376" s="6">
        <f>SUMIF(Orders!K:K,A376,Orders!E:E)</f>
        <v>68592.676000000007</v>
      </c>
      <c r="C376" s="6">
        <f t="shared" si="17"/>
        <v>36156.792499999996</v>
      </c>
      <c r="D376" s="6">
        <f t="shared" si="15"/>
        <v>32435.883500000011</v>
      </c>
      <c r="E376" s="6">
        <f t="shared" si="16"/>
        <v>89.708962707353024</v>
      </c>
    </row>
    <row r="377" spans="1:5" x14ac:dyDescent="0.3">
      <c r="A377" t="str">
        <f>TEXT(Table13[[#This Row],[Order_Date]],"mmm-yyyy")</f>
        <v>Apr-2024</v>
      </c>
      <c r="B377" s="6">
        <f>SUMIF(Orders!K:K,A377,Orders!E:E)</f>
        <v>36132.777000000002</v>
      </c>
      <c r="C377" s="6">
        <f t="shared" si="17"/>
        <v>68592.676000000007</v>
      </c>
      <c r="D377" s="6">
        <f t="shared" si="15"/>
        <v>-32459.899000000005</v>
      </c>
      <c r="E377" s="6">
        <f t="shared" si="16"/>
        <v>-47.322689378673608</v>
      </c>
    </row>
    <row r="378" spans="1:5" x14ac:dyDescent="0.3">
      <c r="A378" t="str">
        <f>TEXT(Table13[[#This Row],[Order_Date]],"mmm-yyyy")</f>
        <v>Sep-2024</v>
      </c>
      <c r="B378" s="6">
        <f>SUMIF(Orders!K:K,A378,Orders!E:E)</f>
        <v>34965.875500000002</v>
      </c>
      <c r="C378" s="6">
        <f t="shared" si="17"/>
        <v>36132.777000000002</v>
      </c>
      <c r="D378" s="6">
        <f t="shared" si="15"/>
        <v>-1166.9014999999999</v>
      </c>
      <c r="E378" s="6">
        <f t="shared" si="16"/>
        <v>-3.2294819188682893</v>
      </c>
    </row>
    <row r="379" spans="1:5" x14ac:dyDescent="0.3">
      <c r="A379" t="str">
        <f>TEXT(Table13[[#This Row],[Order_Date]],"mmm-yyyy")</f>
        <v>May-2023</v>
      </c>
      <c r="B379" s="6">
        <f>SUMIF(Orders!K:K,A379,Orders!E:E)</f>
        <v>73563.426500000001</v>
      </c>
      <c r="C379" s="6">
        <f t="shared" si="17"/>
        <v>34965.875500000002</v>
      </c>
      <c r="D379" s="6">
        <f t="shared" si="15"/>
        <v>38597.550999999999</v>
      </c>
      <c r="E379" s="6">
        <f t="shared" si="16"/>
        <v>110.38634224960275</v>
      </c>
    </row>
    <row r="380" spans="1:5" x14ac:dyDescent="0.3">
      <c r="A380" t="str">
        <f>TEXT(Table13[[#This Row],[Order_Date]],"mmm-yyyy")</f>
        <v>Jul-2024</v>
      </c>
      <c r="B380" s="6">
        <f>SUMIF(Orders!K:K,A380,Orders!E:E)</f>
        <v>46499.452500000007</v>
      </c>
      <c r="C380" s="6">
        <f t="shared" si="17"/>
        <v>73563.426500000001</v>
      </c>
      <c r="D380" s="6">
        <f t="shared" si="15"/>
        <v>-27063.973999999995</v>
      </c>
      <c r="E380" s="6">
        <f t="shared" si="16"/>
        <v>-36.789985577955633</v>
      </c>
    </row>
    <row r="381" spans="1:5" x14ac:dyDescent="0.3">
      <c r="A381" t="str">
        <f>TEXT(Table13[[#This Row],[Order_Date]],"mmm-yyyy")</f>
        <v>May-2025</v>
      </c>
      <c r="B381" s="6">
        <f>SUMIF(Orders!K:K,A381,Orders!E:E)</f>
        <v>66561.381000000008</v>
      </c>
      <c r="C381" s="6">
        <f t="shared" si="17"/>
        <v>46499.452500000007</v>
      </c>
      <c r="D381" s="6">
        <f t="shared" si="15"/>
        <v>20061.928500000002</v>
      </c>
      <c r="E381" s="6">
        <f t="shared" si="16"/>
        <v>43.144440249054547</v>
      </c>
    </row>
    <row r="382" spans="1:5" x14ac:dyDescent="0.3">
      <c r="A382" t="str">
        <f>TEXT(Table13[[#This Row],[Order_Date]],"mmm-yyyy")</f>
        <v>Jul-2024</v>
      </c>
      <c r="B382" s="6">
        <f>SUMIF(Orders!K:K,A382,Orders!E:E)</f>
        <v>46499.452500000007</v>
      </c>
      <c r="C382" s="6">
        <f t="shared" si="17"/>
        <v>66561.381000000008</v>
      </c>
      <c r="D382" s="6">
        <f t="shared" si="15"/>
        <v>-20061.928500000002</v>
      </c>
      <c r="E382" s="6">
        <f t="shared" si="16"/>
        <v>-30.140493178769834</v>
      </c>
    </row>
    <row r="383" spans="1:5" x14ac:dyDescent="0.3">
      <c r="A383" t="str">
        <f>TEXT(Table13[[#This Row],[Order_Date]],"mmm-yyyy")</f>
        <v>Jul-2024</v>
      </c>
      <c r="B383" s="6">
        <f>SUMIF(Orders!K:K,A383,Orders!E:E)</f>
        <v>46499.452500000007</v>
      </c>
      <c r="C383" s="6">
        <f t="shared" si="17"/>
        <v>46499.452500000007</v>
      </c>
      <c r="D383" s="6">
        <f t="shared" si="15"/>
        <v>0</v>
      </c>
      <c r="E383" s="6">
        <f t="shared" si="16"/>
        <v>0</v>
      </c>
    </row>
    <row r="384" spans="1:5" x14ac:dyDescent="0.3">
      <c r="A384" t="str">
        <f>TEXT(Table13[[#This Row],[Order_Date]],"mmm-yyyy")</f>
        <v>Apr-2023</v>
      </c>
      <c r="B384" s="6">
        <f>SUMIF(Orders!K:K,A384,Orders!E:E)</f>
        <v>48464.652999999998</v>
      </c>
      <c r="C384" s="6">
        <f t="shared" si="17"/>
        <v>46499.452500000007</v>
      </c>
      <c r="D384" s="6">
        <f t="shared" si="15"/>
        <v>1965.2004999999917</v>
      </c>
      <c r="E384" s="6">
        <f t="shared" si="16"/>
        <v>4.2262873955343698</v>
      </c>
    </row>
    <row r="385" spans="1:5" x14ac:dyDescent="0.3">
      <c r="A385" t="str">
        <f>TEXT(Table13[[#This Row],[Order_Date]],"mmm-yyyy")</f>
        <v>Jan-2023</v>
      </c>
      <c r="B385" s="6">
        <f>SUMIF(Orders!K:K,A385,Orders!E:E)</f>
        <v>36342.019</v>
      </c>
      <c r="C385" s="6">
        <f t="shared" si="17"/>
        <v>48464.652999999998</v>
      </c>
      <c r="D385" s="6">
        <f t="shared" si="15"/>
        <v>-12122.633999999998</v>
      </c>
      <c r="E385" s="6">
        <f t="shared" si="16"/>
        <v>-25.013351483193325</v>
      </c>
    </row>
    <row r="386" spans="1:5" x14ac:dyDescent="0.3">
      <c r="A386" t="str">
        <f>TEXT(Table13[[#This Row],[Order_Date]],"mmm-yyyy")</f>
        <v>Apr-2025</v>
      </c>
      <c r="B386" s="6">
        <f>SUMIF(Orders!K:K,A386,Orders!E:E)</f>
        <v>36156.792499999996</v>
      </c>
      <c r="C386" s="6">
        <f t="shared" si="17"/>
        <v>36342.019</v>
      </c>
      <c r="D386" s="6">
        <f t="shared" si="15"/>
        <v>-185.22650000000431</v>
      </c>
      <c r="E386" s="6">
        <f t="shared" si="16"/>
        <v>-0.5096758658345435</v>
      </c>
    </row>
    <row r="387" spans="1:5" x14ac:dyDescent="0.3">
      <c r="A387" t="str">
        <f>TEXT(Table13[[#This Row],[Order_Date]],"mmm-yyyy")</f>
        <v>Mar-2025</v>
      </c>
      <c r="B387" s="6">
        <f>SUMIF(Orders!K:K,A387,Orders!E:E)</f>
        <v>68592.676000000007</v>
      </c>
      <c r="C387" s="6">
        <f t="shared" si="17"/>
        <v>36156.792499999996</v>
      </c>
      <c r="D387" s="6">
        <f t="shared" ref="D387:D450" si="18">B387-C387</f>
        <v>32435.883500000011</v>
      </c>
      <c r="E387" s="6">
        <f t="shared" ref="E387:E450" si="19">IF(C387=0,0,(D387/C387)*100)</f>
        <v>89.708962707353024</v>
      </c>
    </row>
    <row r="388" spans="1:5" x14ac:dyDescent="0.3">
      <c r="A388" t="str">
        <f>TEXT(Table13[[#This Row],[Order_Date]],"mmm-yyyy")</f>
        <v>Jul-2024</v>
      </c>
      <c r="B388" s="6">
        <f>SUMIF(Orders!K:K,A388,Orders!E:E)</f>
        <v>46499.452500000007</v>
      </c>
      <c r="C388" s="6">
        <f t="shared" ref="C388:C451" si="20">B387</f>
        <v>68592.676000000007</v>
      </c>
      <c r="D388" s="6">
        <f t="shared" si="18"/>
        <v>-22093.2235</v>
      </c>
      <c r="E388" s="6">
        <f t="shared" si="19"/>
        <v>-32.209303949593682</v>
      </c>
    </row>
    <row r="389" spans="1:5" x14ac:dyDescent="0.3">
      <c r="A389" t="str">
        <f>TEXT(Table13[[#This Row],[Order_Date]],"mmm-yyyy")</f>
        <v>Aug-2024</v>
      </c>
      <c r="B389" s="6">
        <f>SUMIF(Orders!K:K,A389,Orders!E:E)</f>
        <v>57205.100000000006</v>
      </c>
      <c r="C389" s="6">
        <f t="shared" si="20"/>
        <v>46499.452500000007</v>
      </c>
      <c r="D389" s="6">
        <f t="shared" si="18"/>
        <v>10705.647499999999</v>
      </c>
      <c r="E389" s="6">
        <f t="shared" si="19"/>
        <v>23.023168928709424</v>
      </c>
    </row>
    <row r="390" spans="1:5" x14ac:dyDescent="0.3">
      <c r="A390" t="str">
        <f>TEXT(Table13[[#This Row],[Order_Date]],"mmm-yyyy")</f>
        <v>Jul-2025</v>
      </c>
      <c r="B390" s="6">
        <f>SUMIF(Orders!K:K,A390,Orders!E:E)</f>
        <v>2426.9699999999998</v>
      </c>
      <c r="C390" s="6">
        <f t="shared" si="20"/>
        <v>57205.100000000006</v>
      </c>
      <c r="D390" s="6">
        <f t="shared" si="18"/>
        <v>-54778.130000000005</v>
      </c>
      <c r="E390" s="6">
        <f t="shared" si="19"/>
        <v>-95.757423726206227</v>
      </c>
    </row>
    <row r="391" spans="1:5" x14ac:dyDescent="0.3">
      <c r="A391" t="str">
        <f>TEXT(Table13[[#This Row],[Order_Date]],"mmm-yyyy")</f>
        <v>May-2025</v>
      </c>
      <c r="B391" s="6">
        <f>SUMIF(Orders!K:K,A391,Orders!E:E)</f>
        <v>66561.381000000008</v>
      </c>
      <c r="C391" s="6">
        <f t="shared" si="20"/>
        <v>2426.9699999999998</v>
      </c>
      <c r="D391" s="6">
        <f t="shared" si="18"/>
        <v>64134.411000000007</v>
      </c>
      <c r="E391" s="6">
        <f t="shared" si="19"/>
        <v>2642.5712307939534</v>
      </c>
    </row>
    <row r="392" spans="1:5" x14ac:dyDescent="0.3">
      <c r="A392" t="str">
        <f>TEXT(Table13[[#This Row],[Order_Date]],"mmm-yyyy")</f>
        <v>Jan-2024</v>
      </c>
      <c r="B392" s="6">
        <f>SUMIF(Orders!K:K,A392,Orders!E:E)</f>
        <v>63121.498000000007</v>
      </c>
      <c r="C392" s="6">
        <f t="shared" si="20"/>
        <v>66561.381000000008</v>
      </c>
      <c r="D392" s="6">
        <f t="shared" si="18"/>
        <v>-3439.8830000000016</v>
      </c>
      <c r="E392" s="6">
        <f t="shared" si="19"/>
        <v>-5.1679862231223863</v>
      </c>
    </row>
    <row r="393" spans="1:5" x14ac:dyDescent="0.3">
      <c r="A393" t="str">
        <f>TEXT(Table13[[#This Row],[Order_Date]],"mmm-yyyy")</f>
        <v>Jan-2025</v>
      </c>
      <c r="B393" s="6">
        <f>SUMIF(Orders!K:K,A393,Orders!E:E)</f>
        <v>34546.360500000003</v>
      </c>
      <c r="C393" s="6">
        <f t="shared" si="20"/>
        <v>63121.498000000007</v>
      </c>
      <c r="D393" s="6">
        <f t="shared" si="18"/>
        <v>-28575.137500000004</v>
      </c>
      <c r="E393" s="6">
        <f t="shared" si="19"/>
        <v>-45.270056011661829</v>
      </c>
    </row>
    <row r="394" spans="1:5" x14ac:dyDescent="0.3">
      <c r="A394" t="str">
        <f>TEXT(Table13[[#This Row],[Order_Date]],"mmm-yyyy")</f>
        <v>Mar-2023</v>
      </c>
      <c r="B394" s="6">
        <f>SUMIF(Orders!K:K,A394,Orders!E:E)</f>
        <v>54243.0265</v>
      </c>
      <c r="C394" s="6">
        <f t="shared" si="20"/>
        <v>34546.360500000003</v>
      </c>
      <c r="D394" s="6">
        <f t="shared" si="18"/>
        <v>19696.665999999997</v>
      </c>
      <c r="E394" s="6">
        <f t="shared" si="19"/>
        <v>57.015169514021593</v>
      </c>
    </row>
    <row r="395" spans="1:5" x14ac:dyDescent="0.3">
      <c r="A395" t="str">
        <f>TEXT(Table13[[#This Row],[Order_Date]],"mmm-yyyy")</f>
        <v>Apr-2023</v>
      </c>
      <c r="B395" s="6">
        <f>SUMIF(Orders!K:K,A395,Orders!E:E)</f>
        <v>48464.652999999998</v>
      </c>
      <c r="C395" s="6">
        <f t="shared" si="20"/>
        <v>54243.0265</v>
      </c>
      <c r="D395" s="6">
        <f t="shared" si="18"/>
        <v>-5778.3735000000015</v>
      </c>
      <c r="E395" s="6">
        <f t="shared" si="19"/>
        <v>-10.652749068122151</v>
      </c>
    </row>
    <row r="396" spans="1:5" x14ac:dyDescent="0.3">
      <c r="A396" t="str">
        <f>TEXT(Table13[[#This Row],[Order_Date]],"mmm-yyyy")</f>
        <v>Sep-2025</v>
      </c>
      <c r="B396" s="6">
        <f>SUMIF(Orders!K:K,A396,Orders!E:E)</f>
        <v>8756.5400000000009</v>
      </c>
      <c r="C396" s="6">
        <f t="shared" si="20"/>
        <v>48464.652999999998</v>
      </c>
      <c r="D396" s="6">
        <f t="shared" si="18"/>
        <v>-39708.112999999998</v>
      </c>
      <c r="E396" s="6">
        <f t="shared" si="19"/>
        <v>-81.932110398066811</v>
      </c>
    </row>
    <row r="397" spans="1:5" x14ac:dyDescent="0.3">
      <c r="A397" t="str">
        <f>TEXT(Table13[[#This Row],[Order_Date]],"mmm-yyyy")</f>
        <v>May-2023</v>
      </c>
      <c r="B397" s="6">
        <f>SUMIF(Orders!K:K,A397,Orders!E:E)</f>
        <v>73563.426500000001</v>
      </c>
      <c r="C397" s="6">
        <f t="shared" si="20"/>
        <v>8756.5400000000009</v>
      </c>
      <c r="D397" s="6">
        <f t="shared" si="18"/>
        <v>64806.886500000001</v>
      </c>
      <c r="E397" s="6">
        <f t="shared" si="19"/>
        <v>740.09696181368429</v>
      </c>
    </row>
    <row r="398" spans="1:5" x14ac:dyDescent="0.3">
      <c r="A398" t="str">
        <f>TEXT(Table13[[#This Row],[Order_Date]],"mmm-yyyy")</f>
        <v>Jan-2023</v>
      </c>
      <c r="B398" s="6">
        <f>SUMIF(Orders!K:K,A398,Orders!E:E)</f>
        <v>36342.019</v>
      </c>
      <c r="C398" s="6">
        <f t="shared" si="20"/>
        <v>73563.426500000001</v>
      </c>
      <c r="D398" s="6">
        <f t="shared" si="18"/>
        <v>-37221.407500000001</v>
      </c>
      <c r="E398" s="6">
        <f t="shared" si="19"/>
        <v>-50.597707680188066</v>
      </c>
    </row>
    <row r="399" spans="1:5" x14ac:dyDescent="0.3">
      <c r="A399" t="str">
        <f>TEXT(Table13[[#This Row],[Order_Date]],"mmm-yyyy")</f>
        <v>Jun-2025</v>
      </c>
      <c r="B399" s="6">
        <f>SUMIF(Orders!K:K,A399,Orders!E:E)</f>
        <v>28111.332999999999</v>
      </c>
      <c r="C399" s="6">
        <f t="shared" si="20"/>
        <v>36342.019</v>
      </c>
      <c r="D399" s="6">
        <f t="shared" si="18"/>
        <v>-8230.6860000000015</v>
      </c>
      <c r="E399" s="6">
        <f t="shared" si="19"/>
        <v>-22.647850137330021</v>
      </c>
    </row>
    <row r="400" spans="1:5" x14ac:dyDescent="0.3">
      <c r="A400" t="str">
        <f>TEXT(Table13[[#This Row],[Order_Date]],"mmm-yyyy")</f>
        <v>May-2023</v>
      </c>
      <c r="B400" s="6">
        <f>SUMIF(Orders!K:K,A400,Orders!E:E)</f>
        <v>73563.426500000001</v>
      </c>
      <c r="C400" s="6">
        <f t="shared" si="20"/>
        <v>28111.332999999999</v>
      </c>
      <c r="D400" s="6">
        <f t="shared" si="18"/>
        <v>45452.093500000003</v>
      </c>
      <c r="E400" s="6">
        <f t="shared" si="19"/>
        <v>161.68601289736065</v>
      </c>
    </row>
    <row r="401" spans="1:5" x14ac:dyDescent="0.3">
      <c r="A401" t="str">
        <f>TEXT(Table13[[#This Row],[Order_Date]],"mmm-yyyy")</f>
        <v>Jun-2025</v>
      </c>
      <c r="B401" s="6">
        <f>SUMIF(Orders!K:K,A401,Orders!E:E)</f>
        <v>28111.332999999999</v>
      </c>
      <c r="C401" s="6">
        <f t="shared" si="20"/>
        <v>73563.426500000001</v>
      </c>
      <c r="D401" s="6">
        <f t="shared" si="18"/>
        <v>-45452.093500000003</v>
      </c>
      <c r="E401" s="6">
        <f t="shared" si="19"/>
        <v>-61.786264809184765</v>
      </c>
    </row>
    <row r="402" spans="1:5" x14ac:dyDescent="0.3">
      <c r="A402" t="str">
        <f>TEXT(Table13[[#This Row],[Order_Date]],"mmm-yyyy")</f>
        <v>Feb-2023</v>
      </c>
      <c r="B402" s="6">
        <f>SUMIF(Orders!K:K,A402,Orders!E:E)</f>
        <v>31599.2045</v>
      </c>
      <c r="C402" s="6">
        <f t="shared" si="20"/>
        <v>28111.332999999999</v>
      </c>
      <c r="D402" s="6">
        <f t="shared" si="18"/>
        <v>3487.8715000000011</v>
      </c>
      <c r="E402" s="6">
        <f t="shared" si="19"/>
        <v>12.407350089019262</v>
      </c>
    </row>
    <row r="403" spans="1:5" x14ac:dyDescent="0.3">
      <c r="A403" t="str">
        <f>TEXT(Table13[[#This Row],[Order_Date]],"mmm-yyyy")</f>
        <v>Sep-2024</v>
      </c>
      <c r="B403" s="6">
        <f>SUMIF(Orders!K:K,A403,Orders!E:E)</f>
        <v>34965.875500000002</v>
      </c>
      <c r="C403" s="6">
        <f t="shared" si="20"/>
        <v>31599.2045</v>
      </c>
      <c r="D403" s="6">
        <f t="shared" si="18"/>
        <v>3366.6710000000021</v>
      </c>
      <c r="E403" s="6">
        <f t="shared" si="19"/>
        <v>10.65429036354381</v>
      </c>
    </row>
    <row r="404" spans="1:5" x14ac:dyDescent="0.3">
      <c r="A404" t="str">
        <f>TEXT(Table13[[#This Row],[Order_Date]],"mmm-yyyy")</f>
        <v>Jul-2024</v>
      </c>
      <c r="B404" s="6">
        <f>SUMIF(Orders!K:K,A404,Orders!E:E)</f>
        <v>46499.452500000007</v>
      </c>
      <c r="C404" s="6">
        <f t="shared" si="20"/>
        <v>34965.875500000002</v>
      </c>
      <c r="D404" s="6">
        <f t="shared" si="18"/>
        <v>11533.577000000005</v>
      </c>
      <c r="E404" s="6">
        <f t="shared" si="19"/>
        <v>32.985237277985512</v>
      </c>
    </row>
    <row r="405" spans="1:5" x14ac:dyDescent="0.3">
      <c r="A405" t="str">
        <f>TEXT(Table13[[#This Row],[Order_Date]],"mmm-yyyy")</f>
        <v>Aug-2023</v>
      </c>
      <c r="B405" s="6">
        <f>SUMIF(Orders!K:K,A405,Orders!E:E)</f>
        <v>58411.780999999995</v>
      </c>
      <c r="C405" s="6">
        <f t="shared" si="20"/>
        <v>46499.452500000007</v>
      </c>
      <c r="D405" s="6">
        <f t="shared" si="18"/>
        <v>11912.328499999989</v>
      </c>
      <c r="E405" s="6">
        <f t="shared" si="19"/>
        <v>25.618212386479144</v>
      </c>
    </row>
    <row r="406" spans="1:5" x14ac:dyDescent="0.3">
      <c r="A406" t="str">
        <f>TEXT(Table13[[#This Row],[Order_Date]],"mmm-yyyy")</f>
        <v>Nov-2023</v>
      </c>
      <c r="B406" s="6">
        <f>SUMIF(Orders!K:K,A406,Orders!E:E)</f>
        <v>87862.09550000001</v>
      </c>
      <c r="C406" s="6">
        <f t="shared" si="20"/>
        <v>58411.780999999995</v>
      </c>
      <c r="D406" s="6">
        <f t="shared" si="18"/>
        <v>29450.314500000015</v>
      </c>
      <c r="E406" s="6">
        <f t="shared" si="19"/>
        <v>50.418449832919862</v>
      </c>
    </row>
    <row r="407" spans="1:5" x14ac:dyDescent="0.3">
      <c r="A407" t="str">
        <f>TEXT(Table13[[#This Row],[Order_Date]],"mmm-yyyy")</f>
        <v>Oct-2024</v>
      </c>
      <c r="B407" s="6">
        <f>SUMIF(Orders!K:K,A407,Orders!E:E)</f>
        <v>78501.203500000003</v>
      </c>
      <c r="C407" s="6">
        <f t="shared" si="20"/>
        <v>87862.09550000001</v>
      </c>
      <c r="D407" s="6">
        <f t="shared" si="18"/>
        <v>-9360.8920000000071</v>
      </c>
      <c r="E407" s="6">
        <f t="shared" si="19"/>
        <v>-10.654073234572474</v>
      </c>
    </row>
    <row r="408" spans="1:5" x14ac:dyDescent="0.3">
      <c r="A408" t="str">
        <f>TEXT(Table13[[#This Row],[Order_Date]],"mmm-yyyy")</f>
        <v>Aug-2024</v>
      </c>
      <c r="B408" s="6">
        <f>SUMIF(Orders!K:K,A408,Orders!E:E)</f>
        <v>57205.100000000006</v>
      </c>
      <c r="C408" s="6">
        <f t="shared" si="20"/>
        <v>78501.203500000003</v>
      </c>
      <c r="D408" s="6">
        <f t="shared" si="18"/>
        <v>-21296.103499999997</v>
      </c>
      <c r="E408" s="6">
        <f t="shared" si="19"/>
        <v>-27.128378356645189</v>
      </c>
    </row>
    <row r="409" spans="1:5" x14ac:dyDescent="0.3">
      <c r="A409" t="str">
        <f>TEXT(Table13[[#This Row],[Order_Date]],"mmm-yyyy")</f>
        <v>Oct-2024</v>
      </c>
      <c r="B409" s="6">
        <f>SUMIF(Orders!K:K,A409,Orders!E:E)</f>
        <v>78501.203500000003</v>
      </c>
      <c r="C409" s="6">
        <f t="shared" si="20"/>
        <v>57205.100000000006</v>
      </c>
      <c r="D409" s="6">
        <f t="shared" si="18"/>
        <v>21296.103499999997</v>
      </c>
      <c r="E409" s="6">
        <f t="shared" si="19"/>
        <v>37.227630928011656</v>
      </c>
    </row>
    <row r="410" spans="1:5" x14ac:dyDescent="0.3">
      <c r="A410" t="str">
        <f>TEXT(Table13[[#This Row],[Order_Date]],"mmm-yyyy")</f>
        <v>Apr-2023</v>
      </c>
      <c r="B410" s="6">
        <f>SUMIF(Orders!K:K,A410,Orders!E:E)</f>
        <v>48464.652999999998</v>
      </c>
      <c r="C410" s="6">
        <f t="shared" si="20"/>
        <v>78501.203500000003</v>
      </c>
      <c r="D410" s="6">
        <f t="shared" si="18"/>
        <v>-30036.550500000005</v>
      </c>
      <c r="E410" s="6">
        <f t="shared" si="19"/>
        <v>-38.262535045083737</v>
      </c>
    </row>
    <row r="411" spans="1:5" x14ac:dyDescent="0.3">
      <c r="A411" t="str">
        <f>TEXT(Table13[[#This Row],[Order_Date]],"mmm-yyyy")</f>
        <v>Nov-2023</v>
      </c>
      <c r="B411" s="6">
        <f>SUMIF(Orders!K:K,A411,Orders!E:E)</f>
        <v>87862.09550000001</v>
      </c>
      <c r="C411" s="6">
        <f t="shared" si="20"/>
        <v>48464.652999999998</v>
      </c>
      <c r="D411" s="6">
        <f t="shared" si="18"/>
        <v>39397.442500000012</v>
      </c>
      <c r="E411" s="6">
        <f t="shared" si="19"/>
        <v>81.291085484507676</v>
      </c>
    </row>
    <row r="412" spans="1:5" x14ac:dyDescent="0.3">
      <c r="A412" t="str">
        <f>TEXT(Table13[[#This Row],[Order_Date]],"mmm-yyyy")</f>
        <v>Apr-2025</v>
      </c>
      <c r="B412" s="6">
        <f>SUMIF(Orders!K:K,A412,Orders!E:E)</f>
        <v>36156.792499999996</v>
      </c>
      <c r="C412" s="6">
        <f t="shared" si="20"/>
        <v>87862.09550000001</v>
      </c>
      <c r="D412" s="6">
        <f t="shared" si="18"/>
        <v>-51705.303000000014</v>
      </c>
      <c r="E412" s="6">
        <f t="shared" si="19"/>
        <v>-58.848247023655389</v>
      </c>
    </row>
    <row r="413" spans="1:5" x14ac:dyDescent="0.3">
      <c r="A413" t="str">
        <f>TEXT(Table13[[#This Row],[Order_Date]],"mmm-yyyy")</f>
        <v>Apr-2023</v>
      </c>
      <c r="B413" s="6">
        <f>SUMIF(Orders!K:K,A413,Orders!E:E)</f>
        <v>48464.652999999998</v>
      </c>
      <c r="C413" s="6">
        <f t="shared" si="20"/>
        <v>36156.792499999996</v>
      </c>
      <c r="D413" s="6">
        <f t="shared" si="18"/>
        <v>12307.860500000003</v>
      </c>
      <c r="E413" s="6">
        <f t="shared" si="19"/>
        <v>34.040244305409566</v>
      </c>
    </row>
    <row r="414" spans="1:5" x14ac:dyDescent="0.3">
      <c r="A414" t="str">
        <f>TEXT(Table13[[#This Row],[Order_Date]],"mmm-yyyy")</f>
        <v>Nov-2024</v>
      </c>
      <c r="B414" s="6">
        <f>SUMIF(Orders!K:K,A414,Orders!E:E)</f>
        <v>44725.173500000004</v>
      </c>
      <c r="C414" s="6">
        <f t="shared" si="20"/>
        <v>48464.652999999998</v>
      </c>
      <c r="D414" s="6">
        <f t="shared" si="18"/>
        <v>-3739.479499999994</v>
      </c>
      <c r="E414" s="6">
        <f t="shared" si="19"/>
        <v>-7.7158903830385288</v>
      </c>
    </row>
    <row r="415" spans="1:5" x14ac:dyDescent="0.3">
      <c r="A415" t="str">
        <f>TEXT(Table13[[#This Row],[Order_Date]],"mmm-yyyy")</f>
        <v>May-2024</v>
      </c>
      <c r="B415" s="6">
        <f>SUMIF(Orders!K:K,A415,Orders!E:E)</f>
        <v>161169.386</v>
      </c>
      <c r="C415" s="6">
        <f t="shared" si="20"/>
        <v>44725.173500000004</v>
      </c>
      <c r="D415" s="6">
        <f t="shared" si="18"/>
        <v>116444.21249999999</v>
      </c>
      <c r="E415" s="6">
        <f t="shared" si="19"/>
        <v>260.35497100978262</v>
      </c>
    </row>
    <row r="416" spans="1:5" x14ac:dyDescent="0.3">
      <c r="A416" t="str">
        <f>TEXT(Table13[[#This Row],[Order_Date]],"mmm-yyyy")</f>
        <v>Dec-2023</v>
      </c>
      <c r="B416" s="6">
        <f>SUMIF(Orders!K:K,A416,Orders!E:E)</f>
        <v>28438.1345</v>
      </c>
      <c r="C416" s="6">
        <f t="shared" si="20"/>
        <v>161169.386</v>
      </c>
      <c r="D416" s="6">
        <f t="shared" si="18"/>
        <v>-132731.25150000001</v>
      </c>
      <c r="E416" s="6">
        <f t="shared" si="19"/>
        <v>-82.355126363762423</v>
      </c>
    </row>
    <row r="417" spans="1:5" x14ac:dyDescent="0.3">
      <c r="A417" t="str">
        <f>TEXT(Table13[[#This Row],[Order_Date]],"mmm-yyyy")</f>
        <v>Jul-2023</v>
      </c>
      <c r="B417" s="6">
        <f>SUMIF(Orders!K:K,A417,Orders!E:E)</f>
        <v>64908.902500000004</v>
      </c>
      <c r="C417" s="6">
        <f t="shared" si="20"/>
        <v>28438.1345</v>
      </c>
      <c r="D417" s="6">
        <f t="shared" si="18"/>
        <v>36470.768000000004</v>
      </c>
      <c r="E417" s="6">
        <f t="shared" si="19"/>
        <v>128.24599306962276</v>
      </c>
    </row>
    <row r="418" spans="1:5" x14ac:dyDescent="0.3">
      <c r="A418" t="str">
        <f>TEXT(Table13[[#This Row],[Order_Date]],"mmm-yyyy")</f>
        <v>May-2024</v>
      </c>
      <c r="B418" s="6">
        <f>SUMIF(Orders!K:K,A418,Orders!E:E)</f>
        <v>161169.386</v>
      </c>
      <c r="C418" s="6">
        <f t="shared" si="20"/>
        <v>64908.902500000004</v>
      </c>
      <c r="D418" s="6">
        <f t="shared" si="18"/>
        <v>96260.483500000002</v>
      </c>
      <c r="E418" s="6">
        <f t="shared" si="19"/>
        <v>148.30089524314479</v>
      </c>
    </row>
    <row r="419" spans="1:5" x14ac:dyDescent="0.3">
      <c r="A419" t="str">
        <f>TEXT(Table13[[#This Row],[Order_Date]],"mmm-yyyy")</f>
        <v>Oct-2024</v>
      </c>
      <c r="B419" s="6">
        <f>SUMIF(Orders!K:K,A419,Orders!E:E)</f>
        <v>78501.203500000003</v>
      </c>
      <c r="C419" s="6">
        <f t="shared" si="20"/>
        <v>161169.386</v>
      </c>
      <c r="D419" s="6">
        <f t="shared" si="18"/>
        <v>-82668.182499999995</v>
      </c>
      <c r="E419" s="6">
        <f t="shared" si="19"/>
        <v>-51.292732789836407</v>
      </c>
    </row>
    <row r="420" spans="1:5" x14ac:dyDescent="0.3">
      <c r="A420" t="str">
        <f>TEXT(Table13[[#This Row],[Order_Date]],"mmm-yyyy")</f>
        <v>Aug-2024</v>
      </c>
      <c r="B420" s="6">
        <f>SUMIF(Orders!K:K,A420,Orders!E:E)</f>
        <v>57205.100000000006</v>
      </c>
      <c r="C420" s="6">
        <f t="shared" si="20"/>
        <v>78501.203500000003</v>
      </c>
      <c r="D420" s="6">
        <f t="shared" si="18"/>
        <v>-21296.103499999997</v>
      </c>
      <c r="E420" s="6">
        <f t="shared" si="19"/>
        <v>-27.128378356645189</v>
      </c>
    </row>
    <row r="421" spans="1:5" x14ac:dyDescent="0.3">
      <c r="A421" t="str">
        <f>TEXT(Table13[[#This Row],[Order_Date]],"mmm-yyyy")</f>
        <v>May-2024</v>
      </c>
      <c r="B421" s="6">
        <f>SUMIF(Orders!K:K,A421,Orders!E:E)</f>
        <v>161169.386</v>
      </c>
      <c r="C421" s="6">
        <f t="shared" si="20"/>
        <v>57205.100000000006</v>
      </c>
      <c r="D421" s="6">
        <f t="shared" si="18"/>
        <v>103964.28599999999</v>
      </c>
      <c r="E421" s="6">
        <f t="shared" si="19"/>
        <v>181.73954070528674</v>
      </c>
    </row>
    <row r="422" spans="1:5" x14ac:dyDescent="0.3">
      <c r="A422" t="str">
        <f>TEXT(Table13[[#This Row],[Order_Date]],"mmm-yyyy")</f>
        <v>Jul-2023</v>
      </c>
      <c r="B422" s="6">
        <f>SUMIF(Orders!K:K,A422,Orders!E:E)</f>
        <v>64908.902500000004</v>
      </c>
      <c r="C422" s="6">
        <f t="shared" si="20"/>
        <v>161169.386</v>
      </c>
      <c r="D422" s="6">
        <f t="shared" si="18"/>
        <v>-96260.483500000002</v>
      </c>
      <c r="E422" s="6">
        <f t="shared" si="19"/>
        <v>-59.726282943089458</v>
      </c>
    </row>
    <row r="423" spans="1:5" x14ac:dyDescent="0.3">
      <c r="A423" t="str">
        <f>TEXT(Table13[[#This Row],[Order_Date]],"mmm-yyyy")</f>
        <v>May-2023</v>
      </c>
      <c r="B423" s="6">
        <f>SUMIF(Orders!K:K,A423,Orders!E:E)</f>
        <v>73563.426500000001</v>
      </c>
      <c r="C423" s="6">
        <f t="shared" si="20"/>
        <v>64908.902500000004</v>
      </c>
      <c r="D423" s="6">
        <f t="shared" si="18"/>
        <v>8654.5239999999976</v>
      </c>
      <c r="E423" s="6">
        <f t="shared" si="19"/>
        <v>13.333338982275963</v>
      </c>
    </row>
    <row r="424" spans="1:5" x14ac:dyDescent="0.3">
      <c r="A424" t="str">
        <f>TEXT(Table13[[#This Row],[Order_Date]],"mmm-yyyy")</f>
        <v>Sep-2023</v>
      </c>
      <c r="B424" s="6">
        <f>SUMIF(Orders!K:K,A424,Orders!E:E)</f>
        <v>54431.520499999999</v>
      </c>
      <c r="C424" s="6">
        <f t="shared" si="20"/>
        <v>73563.426500000001</v>
      </c>
      <c r="D424" s="6">
        <f t="shared" si="18"/>
        <v>-19131.906000000003</v>
      </c>
      <c r="E424" s="6">
        <f t="shared" si="19"/>
        <v>-26.007361144331693</v>
      </c>
    </row>
    <row r="425" spans="1:5" x14ac:dyDescent="0.3">
      <c r="A425" t="str">
        <f>TEXT(Table13[[#This Row],[Order_Date]],"mmm-yyyy")</f>
        <v>Mar-2023</v>
      </c>
      <c r="B425" s="6">
        <f>SUMIF(Orders!K:K,A425,Orders!E:E)</f>
        <v>54243.0265</v>
      </c>
      <c r="C425" s="6">
        <f t="shared" si="20"/>
        <v>54431.520499999999</v>
      </c>
      <c r="D425" s="6">
        <f t="shared" si="18"/>
        <v>-188.49399999999878</v>
      </c>
      <c r="E425" s="6">
        <f t="shared" si="19"/>
        <v>-0.34629567255979704</v>
      </c>
    </row>
    <row r="426" spans="1:5" x14ac:dyDescent="0.3">
      <c r="A426" t="str">
        <f>TEXT(Table13[[#This Row],[Order_Date]],"mmm-yyyy")</f>
        <v>Aug-2023</v>
      </c>
      <c r="B426" s="6">
        <f>SUMIF(Orders!K:K,A426,Orders!E:E)</f>
        <v>58411.780999999995</v>
      </c>
      <c r="C426" s="6">
        <f t="shared" si="20"/>
        <v>54243.0265</v>
      </c>
      <c r="D426" s="6">
        <f t="shared" si="18"/>
        <v>4168.7544999999955</v>
      </c>
      <c r="E426" s="6">
        <f t="shared" si="19"/>
        <v>7.6853279932674763</v>
      </c>
    </row>
    <row r="427" spans="1:5" x14ac:dyDescent="0.3">
      <c r="A427" t="str">
        <f>TEXT(Table13[[#This Row],[Order_Date]],"mmm-yyyy")</f>
        <v>Feb-2024</v>
      </c>
      <c r="B427" s="6">
        <f>SUMIF(Orders!K:K,A427,Orders!E:E)</f>
        <v>63420.142</v>
      </c>
      <c r="C427" s="6">
        <f t="shared" si="20"/>
        <v>58411.780999999995</v>
      </c>
      <c r="D427" s="6">
        <f t="shared" si="18"/>
        <v>5008.3610000000044</v>
      </c>
      <c r="E427" s="6">
        <f t="shared" si="19"/>
        <v>8.5742309415287394</v>
      </c>
    </row>
    <row r="428" spans="1:5" x14ac:dyDescent="0.3">
      <c r="A428" t="str">
        <f>TEXT(Table13[[#This Row],[Order_Date]],"mmm-yyyy")</f>
        <v>Sep-2023</v>
      </c>
      <c r="B428" s="6">
        <f>SUMIF(Orders!K:K,A428,Orders!E:E)</f>
        <v>54431.520499999999</v>
      </c>
      <c r="C428" s="6">
        <f t="shared" si="20"/>
        <v>63420.142</v>
      </c>
      <c r="D428" s="6">
        <f t="shared" si="18"/>
        <v>-8988.6215000000011</v>
      </c>
      <c r="E428" s="6">
        <f t="shared" si="19"/>
        <v>-14.173133671003136</v>
      </c>
    </row>
    <row r="429" spans="1:5" x14ac:dyDescent="0.3">
      <c r="A429" t="str">
        <f>TEXT(Table13[[#This Row],[Order_Date]],"mmm-yyyy")</f>
        <v>Jun-2023</v>
      </c>
      <c r="B429" s="6">
        <f>SUMIF(Orders!K:K,A429,Orders!E:E)</f>
        <v>62271.799000000006</v>
      </c>
      <c r="C429" s="6">
        <f t="shared" si="20"/>
        <v>54431.520499999999</v>
      </c>
      <c r="D429" s="6">
        <f t="shared" si="18"/>
        <v>7840.2785000000076</v>
      </c>
      <c r="E429" s="6">
        <f t="shared" si="19"/>
        <v>14.403930715108368</v>
      </c>
    </row>
    <row r="430" spans="1:5" x14ac:dyDescent="0.3">
      <c r="A430" t="str">
        <f>TEXT(Table13[[#This Row],[Order_Date]],"mmm-yyyy")</f>
        <v>May-2023</v>
      </c>
      <c r="B430" s="6">
        <f>SUMIF(Orders!K:K,A430,Orders!E:E)</f>
        <v>73563.426500000001</v>
      </c>
      <c r="C430" s="6">
        <f t="shared" si="20"/>
        <v>62271.799000000006</v>
      </c>
      <c r="D430" s="6">
        <f t="shared" si="18"/>
        <v>11291.627499999995</v>
      </c>
      <c r="E430" s="6">
        <f t="shared" si="19"/>
        <v>18.132810808950602</v>
      </c>
    </row>
    <row r="431" spans="1:5" x14ac:dyDescent="0.3">
      <c r="A431" t="str">
        <f>TEXT(Table13[[#This Row],[Order_Date]],"mmm-yyyy")</f>
        <v>Nov-2024</v>
      </c>
      <c r="B431" s="6">
        <f>SUMIF(Orders!K:K,A431,Orders!E:E)</f>
        <v>44725.173500000004</v>
      </c>
      <c r="C431" s="6">
        <f t="shared" si="20"/>
        <v>73563.426500000001</v>
      </c>
      <c r="D431" s="6">
        <f t="shared" si="18"/>
        <v>-28838.252999999997</v>
      </c>
      <c r="E431" s="6">
        <f t="shared" si="19"/>
        <v>-39.201889270342775</v>
      </c>
    </row>
    <row r="432" spans="1:5" x14ac:dyDescent="0.3">
      <c r="A432" t="str">
        <f>TEXT(Table13[[#This Row],[Order_Date]],"mmm-yyyy")</f>
        <v>Sep-2024</v>
      </c>
      <c r="B432" s="6">
        <f>SUMIF(Orders!K:K,A432,Orders!E:E)</f>
        <v>34965.875500000002</v>
      </c>
      <c r="C432" s="6">
        <f t="shared" si="20"/>
        <v>44725.173500000004</v>
      </c>
      <c r="D432" s="6">
        <f t="shared" si="18"/>
        <v>-9759.2980000000025</v>
      </c>
      <c r="E432" s="6">
        <f t="shared" si="19"/>
        <v>-21.820592825648852</v>
      </c>
    </row>
    <row r="433" spans="1:5" x14ac:dyDescent="0.3">
      <c r="A433" t="str">
        <f>TEXT(Table13[[#This Row],[Order_Date]],"mmm-yyyy")</f>
        <v>Nov-2023</v>
      </c>
      <c r="B433" s="6">
        <f>SUMIF(Orders!K:K,A433,Orders!E:E)</f>
        <v>87862.09550000001</v>
      </c>
      <c r="C433" s="6">
        <f t="shared" si="20"/>
        <v>34965.875500000002</v>
      </c>
      <c r="D433" s="6">
        <f t="shared" si="18"/>
        <v>52896.220000000008</v>
      </c>
      <c r="E433" s="6">
        <f t="shared" si="19"/>
        <v>151.2795525454525</v>
      </c>
    </row>
    <row r="434" spans="1:5" x14ac:dyDescent="0.3">
      <c r="A434" t="str">
        <f>TEXT(Table13[[#This Row],[Order_Date]],"mmm-yyyy")</f>
        <v>Jan-2025</v>
      </c>
      <c r="B434" s="6">
        <f>SUMIF(Orders!K:K,A434,Orders!E:E)</f>
        <v>34546.360500000003</v>
      </c>
      <c r="C434" s="6">
        <f t="shared" si="20"/>
        <v>87862.09550000001</v>
      </c>
      <c r="D434" s="6">
        <f t="shared" si="18"/>
        <v>-53315.735000000008</v>
      </c>
      <c r="E434" s="6">
        <f t="shared" si="19"/>
        <v>-60.68115573228048</v>
      </c>
    </row>
    <row r="435" spans="1:5" x14ac:dyDescent="0.3">
      <c r="A435" t="str">
        <f>TEXT(Table13[[#This Row],[Order_Date]],"mmm-yyyy")</f>
        <v>Jun-2025</v>
      </c>
      <c r="B435" s="6">
        <f>SUMIF(Orders!K:K,A435,Orders!E:E)</f>
        <v>28111.332999999999</v>
      </c>
      <c r="C435" s="6">
        <f t="shared" si="20"/>
        <v>34546.360500000003</v>
      </c>
      <c r="D435" s="6">
        <f t="shared" si="18"/>
        <v>-6435.0275000000038</v>
      </c>
      <c r="E435" s="6">
        <f t="shared" si="19"/>
        <v>-18.627222685295614</v>
      </c>
    </row>
    <row r="436" spans="1:5" x14ac:dyDescent="0.3">
      <c r="A436" t="str">
        <f>TEXT(Table13[[#This Row],[Order_Date]],"mmm-yyyy")</f>
        <v>May-2025</v>
      </c>
      <c r="B436" s="6">
        <f>SUMIF(Orders!K:K,A436,Orders!E:E)</f>
        <v>66561.381000000008</v>
      </c>
      <c r="C436" s="6">
        <f t="shared" si="20"/>
        <v>28111.332999999999</v>
      </c>
      <c r="D436" s="6">
        <f t="shared" si="18"/>
        <v>38450.04800000001</v>
      </c>
      <c r="E436" s="6">
        <f t="shared" si="19"/>
        <v>136.77774725232709</v>
      </c>
    </row>
    <row r="437" spans="1:5" x14ac:dyDescent="0.3">
      <c r="A437" t="str">
        <f>TEXT(Table13[[#This Row],[Order_Date]],"mmm-yyyy")</f>
        <v>Nov-2023</v>
      </c>
      <c r="B437" s="6">
        <f>SUMIF(Orders!K:K,A437,Orders!E:E)</f>
        <v>87862.09550000001</v>
      </c>
      <c r="C437" s="6">
        <f t="shared" si="20"/>
        <v>66561.381000000008</v>
      </c>
      <c r="D437" s="6">
        <f t="shared" si="18"/>
        <v>21300.714500000002</v>
      </c>
      <c r="E437" s="6">
        <f t="shared" si="19"/>
        <v>32.001611414883349</v>
      </c>
    </row>
    <row r="438" spans="1:5" x14ac:dyDescent="0.3">
      <c r="A438" t="str">
        <f>TEXT(Table13[[#This Row],[Order_Date]],"mmm-yyyy")</f>
        <v>Feb-2023</v>
      </c>
      <c r="B438" s="6">
        <f>SUMIF(Orders!K:K,A438,Orders!E:E)</f>
        <v>31599.2045</v>
      </c>
      <c r="C438" s="6">
        <f t="shared" si="20"/>
        <v>87862.09550000001</v>
      </c>
      <c r="D438" s="6">
        <f t="shared" si="18"/>
        <v>-56262.891000000011</v>
      </c>
      <c r="E438" s="6">
        <f t="shared" si="19"/>
        <v>-64.035453149418686</v>
      </c>
    </row>
    <row r="439" spans="1:5" x14ac:dyDescent="0.3">
      <c r="A439" t="str">
        <f>TEXT(Table13[[#This Row],[Order_Date]],"mmm-yyyy")</f>
        <v>Apr-2023</v>
      </c>
      <c r="B439" s="6">
        <f>SUMIF(Orders!K:K,A439,Orders!E:E)</f>
        <v>48464.652999999998</v>
      </c>
      <c r="C439" s="6">
        <f t="shared" si="20"/>
        <v>31599.2045</v>
      </c>
      <c r="D439" s="6">
        <f t="shared" si="18"/>
        <v>16865.448499999999</v>
      </c>
      <c r="E439" s="6">
        <f t="shared" si="19"/>
        <v>53.373016083363744</v>
      </c>
    </row>
    <row r="440" spans="1:5" x14ac:dyDescent="0.3">
      <c r="A440" t="str">
        <f>TEXT(Table13[[#This Row],[Order_Date]],"mmm-yyyy")</f>
        <v>Jun-2024</v>
      </c>
      <c r="B440" s="6">
        <f>SUMIF(Orders!K:K,A440,Orders!E:E)</f>
        <v>28904.2945</v>
      </c>
      <c r="C440" s="6">
        <f t="shared" si="20"/>
        <v>48464.652999999998</v>
      </c>
      <c r="D440" s="6">
        <f t="shared" si="18"/>
        <v>-19560.358499999998</v>
      </c>
      <c r="E440" s="6">
        <f t="shared" si="19"/>
        <v>-40.360050653823933</v>
      </c>
    </row>
    <row r="441" spans="1:5" x14ac:dyDescent="0.3">
      <c r="A441" t="str">
        <f>TEXT(Table13[[#This Row],[Order_Date]],"mmm-yyyy")</f>
        <v>Feb-2024</v>
      </c>
      <c r="B441" s="6">
        <f>SUMIF(Orders!K:K,A441,Orders!E:E)</f>
        <v>63420.142</v>
      </c>
      <c r="C441" s="6">
        <f t="shared" si="20"/>
        <v>28904.2945</v>
      </c>
      <c r="D441" s="6">
        <f t="shared" si="18"/>
        <v>34515.847500000003</v>
      </c>
      <c r="E441" s="6">
        <f t="shared" si="19"/>
        <v>119.41425347710874</v>
      </c>
    </row>
    <row r="442" spans="1:5" x14ac:dyDescent="0.3">
      <c r="A442" t="str">
        <f>TEXT(Table13[[#This Row],[Order_Date]],"mmm-yyyy")</f>
        <v>Mar-2023</v>
      </c>
      <c r="B442" s="6">
        <f>SUMIF(Orders!K:K,A442,Orders!E:E)</f>
        <v>54243.0265</v>
      </c>
      <c r="C442" s="6">
        <f t="shared" si="20"/>
        <v>63420.142</v>
      </c>
      <c r="D442" s="6">
        <f t="shared" si="18"/>
        <v>-9177.1154999999999</v>
      </c>
      <c r="E442" s="6">
        <f t="shared" si="19"/>
        <v>-14.470348394994135</v>
      </c>
    </row>
    <row r="443" spans="1:5" x14ac:dyDescent="0.3">
      <c r="A443" t="str">
        <f>TEXT(Table13[[#This Row],[Order_Date]],"mmm-yyyy")</f>
        <v>Oct-2023</v>
      </c>
      <c r="B443" s="6">
        <f>SUMIF(Orders!K:K,A443,Orders!E:E)</f>
        <v>35673.451500000003</v>
      </c>
      <c r="C443" s="6">
        <f t="shared" si="20"/>
        <v>54243.0265</v>
      </c>
      <c r="D443" s="6">
        <f t="shared" si="18"/>
        <v>-18569.574999999997</v>
      </c>
      <c r="E443" s="6">
        <f t="shared" si="19"/>
        <v>-34.234031908230634</v>
      </c>
    </row>
    <row r="444" spans="1:5" x14ac:dyDescent="0.3">
      <c r="A444" t="str">
        <f>TEXT(Table13[[#This Row],[Order_Date]],"mmm-yyyy")</f>
        <v>May-2025</v>
      </c>
      <c r="B444" s="6">
        <f>SUMIF(Orders!K:K,A444,Orders!E:E)</f>
        <v>66561.381000000008</v>
      </c>
      <c r="C444" s="6">
        <f t="shared" si="20"/>
        <v>35673.451500000003</v>
      </c>
      <c r="D444" s="6">
        <f t="shared" si="18"/>
        <v>30887.929500000006</v>
      </c>
      <c r="E444" s="6">
        <f t="shared" si="19"/>
        <v>86.585200481652308</v>
      </c>
    </row>
    <row r="445" spans="1:5" x14ac:dyDescent="0.3">
      <c r="A445" t="str">
        <f>TEXT(Table13[[#This Row],[Order_Date]],"mmm-yyyy")</f>
        <v>Sep-2023</v>
      </c>
      <c r="B445" s="6">
        <f>SUMIF(Orders!K:K,A445,Orders!E:E)</f>
        <v>54431.520499999999</v>
      </c>
      <c r="C445" s="6">
        <f t="shared" si="20"/>
        <v>66561.381000000008</v>
      </c>
      <c r="D445" s="6">
        <f t="shared" si="18"/>
        <v>-12129.86050000001</v>
      </c>
      <c r="E445" s="6">
        <f t="shared" si="19"/>
        <v>-18.223570962267157</v>
      </c>
    </row>
    <row r="446" spans="1:5" x14ac:dyDescent="0.3">
      <c r="A446" t="str">
        <f>TEXT(Table13[[#This Row],[Order_Date]],"mmm-yyyy")</f>
        <v>Mar-2025</v>
      </c>
      <c r="B446" s="6">
        <f>SUMIF(Orders!K:K,A446,Orders!E:E)</f>
        <v>68592.676000000007</v>
      </c>
      <c r="C446" s="6">
        <f t="shared" si="20"/>
        <v>54431.520499999999</v>
      </c>
      <c r="D446" s="6">
        <f t="shared" si="18"/>
        <v>14161.155500000008</v>
      </c>
      <c r="E446" s="6">
        <f t="shared" si="19"/>
        <v>26.016461362676814</v>
      </c>
    </row>
    <row r="447" spans="1:5" x14ac:dyDescent="0.3">
      <c r="A447" t="str">
        <f>TEXT(Table13[[#This Row],[Order_Date]],"mmm-yyyy")</f>
        <v>Jun-2023</v>
      </c>
      <c r="B447" s="6">
        <f>SUMIF(Orders!K:K,A447,Orders!E:E)</f>
        <v>62271.799000000006</v>
      </c>
      <c r="C447" s="6">
        <f t="shared" si="20"/>
        <v>68592.676000000007</v>
      </c>
      <c r="D447" s="6">
        <f t="shared" si="18"/>
        <v>-6320.8770000000004</v>
      </c>
      <c r="E447" s="6">
        <f t="shared" si="19"/>
        <v>-9.2150902524928462</v>
      </c>
    </row>
    <row r="448" spans="1:5" x14ac:dyDescent="0.3">
      <c r="A448" t="str">
        <f>TEXT(Table13[[#This Row],[Order_Date]],"mmm-yyyy")</f>
        <v>Jan-2024</v>
      </c>
      <c r="B448" s="6">
        <f>SUMIF(Orders!K:K,A448,Orders!E:E)</f>
        <v>63121.498000000007</v>
      </c>
      <c r="C448" s="6">
        <f t="shared" si="20"/>
        <v>62271.799000000006</v>
      </c>
      <c r="D448" s="6">
        <f t="shared" si="18"/>
        <v>849.69900000000052</v>
      </c>
      <c r="E448" s="6">
        <f t="shared" si="19"/>
        <v>1.3645004860065155</v>
      </c>
    </row>
    <row r="449" spans="1:5" x14ac:dyDescent="0.3">
      <c r="A449" t="str">
        <f>TEXT(Table13[[#This Row],[Order_Date]],"mmm-yyyy")</f>
        <v>Mar-2023</v>
      </c>
      <c r="B449" s="6">
        <f>SUMIF(Orders!K:K,A449,Orders!E:E)</f>
        <v>54243.0265</v>
      </c>
      <c r="C449" s="6">
        <f t="shared" si="20"/>
        <v>63121.498000000007</v>
      </c>
      <c r="D449" s="6">
        <f t="shared" si="18"/>
        <v>-8878.4715000000069</v>
      </c>
      <c r="E449" s="6">
        <f t="shared" si="19"/>
        <v>-14.065685671781752</v>
      </c>
    </row>
    <row r="450" spans="1:5" x14ac:dyDescent="0.3">
      <c r="A450" t="str">
        <f>TEXT(Table13[[#This Row],[Order_Date]],"mmm-yyyy")</f>
        <v>Sep-2025</v>
      </c>
      <c r="B450" s="6">
        <f>SUMIF(Orders!K:K,A450,Orders!E:E)</f>
        <v>8756.5400000000009</v>
      </c>
      <c r="C450" s="6">
        <f t="shared" si="20"/>
        <v>54243.0265</v>
      </c>
      <c r="D450" s="6">
        <f t="shared" si="18"/>
        <v>-45486.486499999999</v>
      </c>
      <c r="E450" s="6">
        <f t="shared" si="19"/>
        <v>-83.856837339266093</v>
      </c>
    </row>
    <row r="451" spans="1:5" x14ac:dyDescent="0.3">
      <c r="A451" t="str">
        <f>TEXT(Table13[[#This Row],[Order_Date]],"mmm-yyyy")</f>
        <v>Mar-2025</v>
      </c>
      <c r="B451" s="6">
        <f>SUMIF(Orders!K:K,A451,Orders!E:E)</f>
        <v>68592.676000000007</v>
      </c>
      <c r="C451" s="6">
        <f t="shared" si="20"/>
        <v>8756.5400000000009</v>
      </c>
      <c r="D451" s="6">
        <f t="shared" ref="D451:D501" si="21">B451-C451</f>
        <v>59836.136000000006</v>
      </c>
      <c r="E451" s="6">
        <f t="shared" ref="E451:E501" si="22">IF(C451=0,0,(D451/C451)*100)</f>
        <v>683.33081331210735</v>
      </c>
    </row>
    <row r="452" spans="1:5" x14ac:dyDescent="0.3">
      <c r="A452" t="str">
        <f>TEXT(Table13[[#This Row],[Order_Date]],"mmm-yyyy")</f>
        <v>Oct-2023</v>
      </c>
      <c r="B452" s="6">
        <f>SUMIF(Orders!K:K,A452,Orders!E:E)</f>
        <v>35673.451500000003</v>
      </c>
      <c r="C452" s="6">
        <f t="shared" ref="C452:C501" si="23">B451</f>
        <v>68592.676000000007</v>
      </c>
      <c r="D452" s="6">
        <f t="shared" si="21"/>
        <v>-32919.224500000004</v>
      </c>
      <c r="E452" s="6">
        <f t="shared" si="22"/>
        <v>-47.992331571959667</v>
      </c>
    </row>
    <row r="453" spans="1:5" x14ac:dyDescent="0.3">
      <c r="A453" t="str">
        <f>TEXT(Table13[[#This Row],[Order_Date]],"mmm-yyyy")</f>
        <v>Aug-2025</v>
      </c>
      <c r="B453" s="6">
        <f>SUMIF(Orders!K:K,A453,Orders!E:E)</f>
        <v>7924.0545000000002</v>
      </c>
      <c r="C453" s="6">
        <f t="shared" si="23"/>
        <v>35673.451500000003</v>
      </c>
      <c r="D453" s="6">
        <f t="shared" si="21"/>
        <v>-27749.397000000004</v>
      </c>
      <c r="E453" s="6">
        <f t="shared" si="22"/>
        <v>-77.787250274899804</v>
      </c>
    </row>
    <row r="454" spans="1:5" x14ac:dyDescent="0.3">
      <c r="A454" t="str">
        <f>TEXT(Table13[[#This Row],[Order_Date]],"mmm-yyyy")</f>
        <v>Feb-2024</v>
      </c>
      <c r="B454" s="6">
        <f>SUMIF(Orders!K:K,A454,Orders!E:E)</f>
        <v>63420.142</v>
      </c>
      <c r="C454" s="6">
        <f t="shared" si="23"/>
        <v>7924.0545000000002</v>
      </c>
      <c r="D454" s="6">
        <f t="shared" si="21"/>
        <v>55496.087500000001</v>
      </c>
      <c r="E454" s="6">
        <f t="shared" si="22"/>
        <v>700.34964423831264</v>
      </c>
    </row>
    <row r="455" spans="1:5" x14ac:dyDescent="0.3">
      <c r="A455" t="str">
        <f>TEXT(Table13[[#This Row],[Order_Date]],"mmm-yyyy")</f>
        <v>Oct-2024</v>
      </c>
      <c r="B455" s="6">
        <f>SUMIF(Orders!K:K,A455,Orders!E:E)</f>
        <v>78501.203500000003</v>
      </c>
      <c r="C455" s="6">
        <f t="shared" si="23"/>
        <v>63420.142</v>
      </c>
      <c r="D455" s="6">
        <f t="shared" si="21"/>
        <v>15081.061500000003</v>
      </c>
      <c r="E455" s="6">
        <f t="shared" si="22"/>
        <v>23.779608535092848</v>
      </c>
    </row>
    <row r="456" spans="1:5" x14ac:dyDescent="0.3">
      <c r="A456" t="str">
        <f>TEXT(Table13[[#This Row],[Order_Date]],"mmm-yyyy")</f>
        <v>Aug-2024</v>
      </c>
      <c r="B456" s="6">
        <f>SUMIF(Orders!K:K,A456,Orders!E:E)</f>
        <v>57205.100000000006</v>
      </c>
      <c r="C456" s="6">
        <f t="shared" si="23"/>
        <v>78501.203500000003</v>
      </c>
      <c r="D456" s="6">
        <f t="shared" si="21"/>
        <v>-21296.103499999997</v>
      </c>
      <c r="E456" s="6">
        <f t="shared" si="22"/>
        <v>-27.128378356645189</v>
      </c>
    </row>
    <row r="457" spans="1:5" x14ac:dyDescent="0.3">
      <c r="A457" t="str">
        <f>TEXT(Table13[[#This Row],[Order_Date]],"mmm-yyyy")</f>
        <v>Jul-2023</v>
      </c>
      <c r="B457" s="6">
        <f>SUMIF(Orders!K:K,A457,Orders!E:E)</f>
        <v>64908.902500000004</v>
      </c>
      <c r="C457" s="6">
        <f t="shared" si="23"/>
        <v>57205.100000000006</v>
      </c>
      <c r="D457" s="6">
        <f t="shared" si="21"/>
        <v>7703.802499999998</v>
      </c>
      <c r="E457" s="6">
        <f t="shared" si="22"/>
        <v>13.466985461086505</v>
      </c>
    </row>
    <row r="458" spans="1:5" x14ac:dyDescent="0.3">
      <c r="A458" t="str">
        <f>TEXT(Table13[[#This Row],[Order_Date]],"mmm-yyyy")</f>
        <v>Aug-2024</v>
      </c>
      <c r="B458" s="6">
        <f>SUMIF(Orders!K:K,A458,Orders!E:E)</f>
        <v>57205.100000000006</v>
      </c>
      <c r="C458" s="6">
        <f t="shared" si="23"/>
        <v>64908.902500000004</v>
      </c>
      <c r="D458" s="6">
        <f t="shared" si="21"/>
        <v>-7703.802499999998</v>
      </c>
      <c r="E458" s="6">
        <f t="shared" si="22"/>
        <v>-11.868637741949184</v>
      </c>
    </row>
    <row r="459" spans="1:5" x14ac:dyDescent="0.3">
      <c r="A459" t="str">
        <f>TEXT(Table13[[#This Row],[Order_Date]],"mmm-yyyy")</f>
        <v>Apr-2023</v>
      </c>
      <c r="B459" s="6">
        <f>SUMIF(Orders!K:K,A459,Orders!E:E)</f>
        <v>48464.652999999998</v>
      </c>
      <c r="C459" s="6">
        <f t="shared" si="23"/>
        <v>57205.100000000006</v>
      </c>
      <c r="D459" s="6">
        <f t="shared" si="21"/>
        <v>-8740.4470000000074</v>
      </c>
      <c r="E459" s="6">
        <f t="shared" si="22"/>
        <v>-15.279139447356979</v>
      </c>
    </row>
    <row r="460" spans="1:5" x14ac:dyDescent="0.3">
      <c r="A460" t="str">
        <f>TEXT(Table13[[#This Row],[Order_Date]],"mmm-yyyy")</f>
        <v>May-2025</v>
      </c>
      <c r="B460" s="6">
        <f>SUMIF(Orders!K:K,A460,Orders!E:E)</f>
        <v>66561.381000000008</v>
      </c>
      <c r="C460" s="6">
        <f t="shared" si="23"/>
        <v>48464.652999999998</v>
      </c>
      <c r="D460" s="6">
        <f t="shared" si="21"/>
        <v>18096.72800000001</v>
      </c>
      <c r="E460" s="6">
        <f t="shared" si="22"/>
        <v>37.340054823048071</v>
      </c>
    </row>
    <row r="461" spans="1:5" x14ac:dyDescent="0.3">
      <c r="A461" t="str">
        <f>TEXT(Table13[[#This Row],[Order_Date]],"mmm-yyyy")</f>
        <v>Jun-2023</v>
      </c>
      <c r="B461" s="6">
        <f>SUMIF(Orders!K:K,A461,Orders!E:E)</f>
        <v>62271.799000000006</v>
      </c>
      <c r="C461" s="6">
        <f t="shared" si="23"/>
        <v>66561.381000000008</v>
      </c>
      <c r="D461" s="6">
        <f t="shared" si="21"/>
        <v>-4289.5820000000022</v>
      </c>
      <c r="E461" s="6">
        <f t="shared" si="22"/>
        <v>-6.4445507823823576</v>
      </c>
    </row>
    <row r="462" spans="1:5" x14ac:dyDescent="0.3">
      <c r="A462" t="str">
        <f>TEXT(Table13[[#This Row],[Order_Date]],"mmm-yyyy")</f>
        <v>Sep-2024</v>
      </c>
      <c r="B462" s="6">
        <f>SUMIF(Orders!K:K,A462,Orders!E:E)</f>
        <v>34965.875500000002</v>
      </c>
      <c r="C462" s="6">
        <f t="shared" si="23"/>
        <v>62271.799000000006</v>
      </c>
      <c r="D462" s="6">
        <f t="shared" si="21"/>
        <v>-27305.923500000004</v>
      </c>
      <c r="E462" s="6">
        <f t="shared" si="22"/>
        <v>-43.849581895008363</v>
      </c>
    </row>
    <row r="463" spans="1:5" x14ac:dyDescent="0.3">
      <c r="A463" t="str">
        <f>TEXT(Table13[[#This Row],[Order_Date]],"mmm-yyyy")</f>
        <v>Jan-2024</v>
      </c>
      <c r="B463" s="6">
        <f>SUMIF(Orders!K:K,A463,Orders!E:E)</f>
        <v>63121.498000000007</v>
      </c>
      <c r="C463" s="6">
        <f t="shared" si="23"/>
        <v>34965.875500000002</v>
      </c>
      <c r="D463" s="6">
        <f t="shared" si="21"/>
        <v>28155.622500000005</v>
      </c>
      <c r="E463" s="6">
        <f t="shared" si="22"/>
        <v>80.523144629969295</v>
      </c>
    </row>
    <row r="464" spans="1:5" x14ac:dyDescent="0.3">
      <c r="A464" t="str">
        <f>TEXT(Table13[[#This Row],[Order_Date]],"mmm-yyyy")</f>
        <v>Feb-2025</v>
      </c>
      <c r="B464" s="6">
        <f>SUMIF(Orders!K:K,A464,Orders!E:E)</f>
        <v>43736.824500000002</v>
      </c>
      <c r="C464" s="6">
        <f t="shared" si="23"/>
        <v>63121.498000000007</v>
      </c>
      <c r="D464" s="6">
        <f t="shared" si="21"/>
        <v>-19384.673500000004</v>
      </c>
      <c r="E464" s="6">
        <f t="shared" si="22"/>
        <v>-30.710097374431772</v>
      </c>
    </row>
    <row r="465" spans="1:5" x14ac:dyDescent="0.3">
      <c r="A465" t="str">
        <f>TEXT(Table13[[#This Row],[Order_Date]],"mmm-yyyy")</f>
        <v>Mar-2024</v>
      </c>
      <c r="B465" s="6">
        <f>SUMIF(Orders!K:K,A465,Orders!E:E)</f>
        <v>57373.933500000006</v>
      </c>
      <c r="C465" s="6">
        <f t="shared" si="23"/>
        <v>43736.824500000002</v>
      </c>
      <c r="D465" s="6">
        <f t="shared" si="21"/>
        <v>13637.109000000004</v>
      </c>
      <c r="E465" s="6">
        <f t="shared" si="22"/>
        <v>31.179924825132204</v>
      </c>
    </row>
    <row r="466" spans="1:5" x14ac:dyDescent="0.3">
      <c r="A466" t="str">
        <f>TEXT(Table13[[#This Row],[Order_Date]],"mmm-yyyy")</f>
        <v>Apr-2024</v>
      </c>
      <c r="B466" s="6">
        <f>SUMIF(Orders!K:K,A466,Orders!E:E)</f>
        <v>36132.777000000002</v>
      </c>
      <c r="C466" s="6">
        <f t="shared" si="23"/>
        <v>57373.933500000006</v>
      </c>
      <c r="D466" s="6">
        <f t="shared" si="21"/>
        <v>-21241.156500000005</v>
      </c>
      <c r="E466" s="6">
        <f t="shared" si="22"/>
        <v>-37.022311708852946</v>
      </c>
    </row>
    <row r="467" spans="1:5" x14ac:dyDescent="0.3">
      <c r="A467" t="str">
        <f>TEXT(Table13[[#This Row],[Order_Date]],"mmm-yyyy")</f>
        <v>Feb-2025</v>
      </c>
      <c r="B467" s="6">
        <f>SUMIF(Orders!K:K,A467,Orders!E:E)</f>
        <v>43736.824500000002</v>
      </c>
      <c r="C467" s="6">
        <f t="shared" si="23"/>
        <v>36132.777000000002</v>
      </c>
      <c r="D467" s="6">
        <f t="shared" si="21"/>
        <v>7604.0475000000006</v>
      </c>
      <c r="E467" s="6">
        <f t="shared" si="22"/>
        <v>21.044735919411899</v>
      </c>
    </row>
    <row r="468" spans="1:5" x14ac:dyDescent="0.3">
      <c r="A468" t="str">
        <f>TEXT(Table13[[#This Row],[Order_Date]],"mmm-yyyy")</f>
        <v>Nov-2024</v>
      </c>
      <c r="B468" s="6">
        <f>SUMIF(Orders!K:K,A468,Orders!E:E)</f>
        <v>44725.173500000004</v>
      </c>
      <c r="C468" s="6">
        <f t="shared" si="23"/>
        <v>43736.824500000002</v>
      </c>
      <c r="D468" s="6">
        <f t="shared" si="21"/>
        <v>988.34900000000198</v>
      </c>
      <c r="E468" s="6">
        <f t="shared" si="22"/>
        <v>2.2597639661745492</v>
      </c>
    </row>
    <row r="469" spans="1:5" x14ac:dyDescent="0.3">
      <c r="A469" t="str">
        <f>TEXT(Table13[[#This Row],[Order_Date]],"mmm-yyyy")</f>
        <v>Oct-2023</v>
      </c>
      <c r="B469" s="6">
        <f>SUMIF(Orders!K:K,A469,Orders!E:E)</f>
        <v>35673.451500000003</v>
      </c>
      <c r="C469" s="6">
        <f t="shared" si="23"/>
        <v>44725.173500000004</v>
      </c>
      <c r="D469" s="6">
        <f t="shared" si="21"/>
        <v>-9051.7220000000016</v>
      </c>
      <c r="E469" s="6">
        <f t="shared" si="22"/>
        <v>-20.238539711869425</v>
      </c>
    </row>
    <row r="470" spans="1:5" x14ac:dyDescent="0.3">
      <c r="A470" t="str">
        <f>TEXT(Table13[[#This Row],[Order_Date]],"mmm-yyyy")</f>
        <v>Dec-2023</v>
      </c>
      <c r="B470" s="6">
        <f>SUMIF(Orders!K:K,A470,Orders!E:E)</f>
        <v>28438.1345</v>
      </c>
      <c r="C470" s="6">
        <f t="shared" si="23"/>
        <v>35673.451500000003</v>
      </c>
      <c r="D470" s="6">
        <f t="shared" si="21"/>
        <v>-7235.3170000000027</v>
      </c>
      <c r="E470" s="6">
        <f t="shared" si="22"/>
        <v>-20.282077275309348</v>
      </c>
    </row>
    <row r="471" spans="1:5" x14ac:dyDescent="0.3">
      <c r="A471" t="str">
        <f>TEXT(Table13[[#This Row],[Order_Date]],"mmm-yyyy")</f>
        <v>Nov-2023</v>
      </c>
      <c r="B471" s="6">
        <f>SUMIF(Orders!K:K,A471,Orders!E:E)</f>
        <v>87862.09550000001</v>
      </c>
      <c r="C471" s="6">
        <f t="shared" si="23"/>
        <v>28438.1345</v>
      </c>
      <c r="D471" s="6">
        <f t="shared" si="21"/>
        <v>59423.96100000001</v>
      </c>
      <c r="E471" s="6">
        <f t="shared" si="22"/>
        <v>208.9587170353949</v>
      </c>
    </row>
    <row r="472" spans="1:5" x14ac:dyDescent="0.3">
      <c r="A472" t="str">
        <f>TEXT(Table13[[#This Row],[Order_Date]],"mmm-yyyy")</f>
        <v>Aug-2023</v>
      </c>
      <c r="B472" s="6">
        <f>SUMIF(Orders!K:K,A472,Orders!E:E)</f>
        <v>58411.780999999995</v>
      </c>
      <c r="C472" s="6">
        <f t="shared" si="23"/>
        <v>87862.09550000001</v>
      </c>
      <c r="D472" s="6">
        <f t="shared" si="21"/>
        <v>-29450.314500000015</v>
      </c>
      <c r="E472" s="6">
        <f t="shared" si="22"/>
        <v>-33.518793664555851</v>
      </c>
    </row>
    <row r="473" spans="1:5" x14ac:dyDescent="0.3">
      <c r="A473" t="str">
        <f>TEXT(Table13[[#This Row],[Order_Date]],"mmm-yyyy")</f>
        <v>Jan-2023</v>
      </c>
      <c r="B473" s="6">
        <f>SUMIF(Orders!K:K,A473,Orders!E:E)</f>
        <v>36342.019</v>
      </c>
      <c r="C473" s="6">
        <f t="shared" si="23"/>
        <v>58411.780999999995</v>
      </c>
      <c r="D473" s="6">
        <f t="shared" si="21"/>
        <v>-22069.761999999995</v>
      </c>
      <c r="E473" s="6">
        <f t="shared" si="22"/>
        <v>-37.783066398882781</v>
      </c>
    </row>
    <row r="474" spans="1:5" x14ac:dyDescent="0.3">
      <c r="A474" t="str">
        <f>TEXT(Table13[[#This Row],[Order_Date]],"mmm-yyyy")</f>
        <v>Feb-2025</v>
      </c>
      <c r="B474" s="6">
        <f>SUMIF(Orders!K:K,A474,Orders!E:E)</f>
        <v>43736.824500000002</v>
      </c>
      <c r="C474" s="6">
        <f t="shared" si="23"/>
        <v>36342.019</v>
      </c>
      <c r="D474" s="6">
        <f t="shared" si="21"/>
        <v>7394.8055000000022</v>
      </c>
      <c r="E474" s="6">
        <f t="shared" si="22"/>
        <v>20.347811441075969</v>
      </c>
    </row>
    <row r="475" spans="1:5" x14ac:dyDescent="0.3">
      <c r="A475" t="str">
        <f>TEXT(Table13[[#This Row],[Order_Date]],"mmm-yyyy")</f>
        <v>Nov-2023</v>
      </c>
      <c r="B475" s="6">
        <f>SUMIF(Orders!K:K,A475,Orders!E:E)</f>
        <v>87862.09550000001</v>
      </c>
      <c r="C475" s="6">
        <f t="shared" si="23"/>
        <v>43736.824500000002</v>
      </c>
      <c r="D475" s="6">
        <f t="shared" si="21"/>
        <v>44125.271000000008</v>
      </c>
      <c r="E475" s="6">
        <f t="shared" si="22"/>
        <v>100.88814518301392</v>
      </c>
    </row>
    <row r="476" spans="1:5" x14ac:dyDescent="0.3">
      <c r="A476" t="str">
        <f>TEXT(Table13[[#This Row],[Order_Date]],"mmm-yyyy")</f>
        <v>Apr-2023</v>
      </c>
      <c r="B476" s="6">
        <f>SUMIF(Orders!K:K,A476,Orders!E:E)</f>
        <v>48464.652999999998</v>
      </c>
      <c r="C476" s="6">
        <f t="shared" si="23"/>
        <v>87862.09550000001</v>
      </c>
      <c r="D476" s="6">
        <f t="shared" si="21"/>
        <v>-39397.442500000012</v>
      </c>
      <c r="E476" s="6">
        <f t="shared" si="22"/>
        <v>-44.840089774549035</v>
      </c>
    </row>
    <row r="477" spans="1:5" x14ac:dyDescent="0.3">
      <c r="A477" t="str">
        <f>TEXT(Table13[[#This Row],[Order_Date]],"mmm-yyyy")</f>
        <v>Jun-2024</v>
      </c>
      <c r="B477" s="6">
        <f>SUMIF(Orders!K:K,A477,Orders!E:E)</f>
        <v>28904.2945</v>
      </c>
      <c r="C477" s="6">
        <f t="shared" si="23"/>
        <v>48464.652999999998</v>
      </c>
      <c r="D477" s="6">
        <f t="shared" si="21"/>
        <v>-19560.358499999998</v>
      </c>
      <c r="E477" s="6">
        <f t="shared" si="22"/>
        <v>-40.360050653823933</v>
      </c>
    </row>
    <row r="478" spans="1:5" x14ac:dyDescent="0.3">
      <c r="A478" t="str">
        <f>TEXT(Table13[[#This Row],[Order_Date]],"mmm-yyyy")</f>
        <v>Mar-2025</v>
      </c>
      <c r="B478" s="6">
        <f>SUMIF(Orders!K:K,A478,Orders!E:E)</f>
        <v>68592.676000000007</v>
      </c>
      <c r="C478" s="6">
        <f t="shared" si="23"/>
        <v>28904.2945</v>
      </c>
      <c r="D478" s="6">
        <f t="shared" si="21"/>
        <v>39688.381500000003</v>
      </c>
      <c r="E478" s="6">
        <f t="shared" si="22"/>
        <v>137.30963577055999</v>
      </c>
    </row>
    <row r="479" spans="1:5" x14ac:dyDescent="0.3">
      <c r="A479" t="str">
        <f>TEXT(Table13[[#This Row],[Order_Date]],"mmm-yyyy")</f>
        <v>Aug-2023</v>
      </c>
      <c r="B479" s="6">
        <f>SUMIF(Orders!K:K,A479,Orders!E:E)</f>
        <v>58411.780999999995</v>
      </c>
      <c r="C479" s="6">
        <f t="shared" si="23"/>
        <v>68592.676000000007</v>
      </c>
      <c r="D479" s="6">
        <f t="shared" si="21"/>
        <v>-10180.895000000011</v>
      </c>
      <c r="E479" s="6">
        <f t="shared" si="22"/>
        <v>-14.842539457128062</v>
      </c>
    </row>
    <row r="480" spans="1:5" x14ac:dyDescent="0.3">
      <c r="A480" t="str">
        <f>TEXT(Table13[[#This Row],[Order_Date]],"mmm-yyyy")</f>
        <v>Aug-2023</v>
      </c>
      <c r="B480" s="6">
        <f>SUMIF(Orders!K:K,A480,Orders!E:E)</f>
        <v>58411.780999999995</v>
      </c>
      <c r="C480" s="6">
        <f t="shared" si="23"/>
        <v>58411.780999999995</v>
      </c>
      <c r="D480" s="6">
        <f t="shared" si="21"/>
        <v>0</v>
      </c>
      <c r="E480" s="6">
        <f t="shared" si="22"/>
        <v>0</v>
      </c>
    </row>
    <row r="481" spans="1:5" x14ac:dyDescent="0.3">
      <c r="A481" t="str">
        <f>TEXT(Table13[[#This Row],[Order_Date]],"mmm-yyyy")</f>
        <v>Jun-2025</v>
      </c>
      <c r="B481" s="6">
        <f>SUMIF(Orders!K:K,A481,Orders!E:E)</f>
        <v>28111.332999999999</v>
      </c>
      <c r="C481" s="6">
        <f t="shared" si="23"/>
        <v>58411.780999999995</v>
      </c>
      <c r="D481" s="6">
        <f t="shared" si="21"/>
        <v>-30300.447999999997</v>
      </c>
      <c r="E481" s="6">
        <f t="shared" si="22"/>
        <v>-51.873864280905934</v>
      </c>
    </row>
    <row r="482" spans="1:5" x14ac:dyDescent="0.3">
      <c r="A482" t="str">
        <f>TEXT(Table13[[#This Row],[Order_Date]],"mmm-yyyy")</f>
        <v>Jun-2023</v>
      </c>
      <c r="B482" s="6">
        <f>SUMIF(Orders!K:K,A482,Orders!E:E)</f>
        <v>62271.799000000006</v>
      </c>
      <c r="C482" s="6">
        <f t="shared" si="23"/>
        <v>28111.332999999999</v>
      </c>
      <c r="D482" s="6">
        <f t="shared" si="21"/>
        <v>34160.466000000008</v>
      </c>
      <c r="E482" s="6">
        <f t="shared" si="22"/>
        <v>121.5184850892699</v>
      </c>
    </row>
    <row r="483" spans="1:5" x14ac:dyDescent="0.3">
      <c r="A483" t="str">
        <f>TEXT(Table13[[#This Row],[Order_Date]],"mmm-yyyy")</f>
        <v>Aug-2023</v>
      </c>
      <c r="B483" s="6">
        <f>SUMIF(Orders!K:K,A483,Orders!E:E)</f>
        <v>58411.780999999995</v>
      </c>
      <c r="C483" s="6">
        <f t="shared" si="23"/>
        <v>62271.799000000006</v>
      </c>
      <c r="D483" s="6">
        <f t="shared" si="21"/>
        <v>-3860.0180000000109</v>
      </c>
      <c r="E483" s="6">
        <f t="shared" si="22"/>
        <v>-6.1986614518716738</v>
      </c>
    </row>
    <row r="484" spans="1:5" x14ac:dyDescent="0.3">
      <c r="A484" t="str">
        <f>TEXT(Table13[[#This Row],[Order_Date]],"mmm-yyyy")</f>
        <v>Apr-2024</v>
      </c>
      <c r="B484" s="6">
        <f>SUMIF(Orders!K:K,A484,Orders!E:E)</f>
        <v>36132.777000000002</v>
      </c>
      <c r="C484" s="6">
        <f t="shared" si="23"/>
        <v>58411.780999999995</v>
      </c>
      <c r="D484" s="6">
        <f t="shared" si="21"/>
        <v>-22279.003999999994</v>
      </c>
      <c r="E484" s="6">
        <f t="shared" si="22"/>
        <v>-38.141285231484375</v>
      </c>
    </row>
    <row r="485" spans="1:5" x14ac:dyDescent="0.3">
      <c r="A485" t="str">
        <f>TEXT(Table13[[#This Row],[Order_Date]],"mmm-yyyy")</f>
        <v>Jul-2023</v>
      </c>
      <c r="B485" s="6">
        <f>SUMIF(Orders!K:K,A485,Orders!E:E)</f>
        <v>64908.902500000004</v>
      </c>
      <c r="C485" s="6">
        <f t="shared" si="23"/>
        <v>36132.777000000002</v>
      </c>
      <c r="D485" s="6">
        <f t="shared" si="21"/>
        <v>28776.125500000002</v>
      </c>
      <c r="E485" s="6">
        <f t="shared" si="22"/>
        <v>79.639949899228611</v>
      </c>
    </row>
    <row r="486" spans="1:5" x14ac:dyDescent="0.3">
      <c r="A486" t="str">
        <f>TEXT(Table13[[#This Row],[Order_Date]],"mmm-yyyy")</f>
        <v>Jan-2025</v>
      </c>
      <c r="B486" s="6">
        <f>SUMIF(Orders!K:K,A486,Orders!E:E)</f>
        <v>34546.360500000003</v>
      </c>
      <c r="C486" s="6">
        <f t="shared" si="23"/>
        <v>64908.902500000004</v>
      </c>
      <c r="D486" s="6">
        <f t="shared" si="21"/>
        <v>-30362.542000000001</v>
      </c>
      <c r="E486" s="6">
        <f t="shared" si="22"/>
        <v>-46.7771612684408</v>
      </c>
    </row>
    <row r="487" spans="1:5" x14ac:dyDescent="0.3">
      <c r="A487" t="str">
        <f>TEXT(Table13[[#This Row],[Order_Date]],"mmm-yyyy")</f>
        <v>Feb-2025</v>
      </c>
      <c r="B487" s="6">
        <f>SUMIF(Orders!K:K,A487,Orders!E:E)</f>
        <v>43736.824500000002</v>
      </c>
      <c r="C487" s="6">
        <f t="shared" si="23"/>
        <v>34546.360500000003</v>
      </c>
      <c r="D487" s="6">
        <f t="shared" si="21"/>
        <v>9190.4639999999999</v>
      </c>
      <c r="E487" s="6">
        <f t="shared" si="22"/>
        <v>26.60327706590105</v>
      </c>
    </row>
    <row r="488" spans="1:5" x14ac:dyDescent="0.3">
      <c r="A488" t="str">
        <f>TEXT(Table13[[#This Row],[Order_Date]],"mmm-yyyy")</f>
        <v>Jul-2023</v>
      </c>
      <c r="B488" s="6">
        <f>SUMIF(Orders!K:K,A488,Orders!E:E)</f>
        <v>64908.902500000004</v>
      </c>
      <c r="C488" s="6">
        <f t="shared" si="23"/>
        <v>43736.824500000002</v>
      </c>
      <c r="D488" s="6">
        <f t="shared" si="21"/>
        <v>21172.078000000001</v>
      </c>
      <c r="E488" s="6">
        <f t="shared" si="22"/>
        <v>48.407899389220631</v>
      </c>
    </row>
    <row r="489" spans="1:5" x14ac:dyDescent="0.3">
      <c r="A489" t="str">
        <f>TEXT(Table13[[#This Row],[Order_Date]],"mmm-yyyy")</f>
        <v>Sep-2024</v>
      </c>
      <c r="B489" s="6">
        <f>SUMIF(Orders!K:K,A489,Orders!E:E)</f>
        <v>34965.875500000002</v>
      </c>
      <c r="C489" s="6">
        <f t="shared" si="23"/>
        <v>64908.902500000004</v>
      </c>
      <c r="D489" s="6">
        <f t="shared" si="21"/>
        <v>-29943.027000000002</v>
      </c>
      <c r="E489" s="6">
        <f t="shared" si="22"/>
        <v>-46.1308477677619</v>
      </c>
    </row>
    <row r="490" spans="1:5" x14ac:dyDescent="0.3">
      <c r="A490" t="str">
        <f>TEXT(Table13[[#This Row],[Order_Date]],"mmm-yyyy")</f>
        <v>Oct-2024</v>
      </c>
      <c r="B490" s="6">
        <f>SUMIF(Orders!K:K,A490,Orders!E:E)</f>
        <v>78501.203500000003</v>
      </c>
      <c r="C490" s="6">
        <f t="shared" si="23"/>
        <v>34965.875500000002</v>
      </c>
      <c r="D490" s="6">
        <f t="shared" si="21"/>
        <v>43535.328000000001</v>
      </c>
      <c r="E490" s="6">
        <f t="shared" si="22"/>
        <v>124.50804499375398</v>
      </c>
    </row>
    <row r="491" spans="1:5" x14ac:dyDescent="0.3">
      <c r="A491" t="str">
        <f>TEXT(Table13[[#This Row],[Order_Date]],"mmm-yyyy")</f>
        <v>Nov-2025</v>
      </c>
      <c r="B491" s="6">
        <f>SUMIF(Orders!K:K,A491,Orders!E:E)</f>
        <v>10592.798500000001</v>
      </c>
      <c r="C491" s="6">
        <f t="shared" si="23"/>
        <v>78501.203500000003</v>
      </c>
      <c r="D491" s="6">
        <f t="shared" si="21"/>
        <v>-67908.404999999999</v>
      </c>
      <c r="E491" s="6">
        <f t="shared" si="22"/>
        <v>-86.506196048319168</v>
      </c>
    </row>
    <row r="492" spans="1:5" x14ac:dyDescent="0.3">
      <c r="A492" t="str">
        <f>TEXT(Table13[[#This Row],[Order_Date]],"mmm-yyyy")</f>
        <v>Jan-2024</v>
      </c>
      <c r="B492" s="6">
        <f>SUMIF(Orders!K:K,A492,Orders!E:E)</f>
        <v>63121.498000000007</v>
      </c>
      <c r="C492" s="6">
        <f t="shared" si="23"/>
        <v>10592.798500000001</v>
      </c>
      <c r="D492" s="6">
        <f t="shared" si="21"/>
        <v>52528.699500000002</v>
      </c>
      <c r="E492" s="6">
        <f t="shared" si="22"/>
        <v>495.89067043992196</v>
      </c>
    </row>
    <row r="493" spans="1:5" x14ac:dyDescent="0.3">
      <c r="A493" t="str">
        <f>TEXT(Table13[[#This Row],[Order_Date]],"mmm-yyyy")</f>
        <v>Mar-2023</v>
      </c>
      <c r="B493" s="6">
        <f>SUMIF(Orders!K:K,A493,Orders!E:E)</f>
        <v>54243.0265</v>
      </c>
      <c r="C493" s="6">
        <f t="shared" si="23"/>
        <v>63121.498000000007</v>
      </c>
      <c r="D493" s="6">
        <f t="shared" si="21"/>
        <v>-8878.4715000000069</v>
      </c>
      <c r="E493" s="6">
        <f t="shared" si="22"/>
        <v>-14.065685671781752</v>
      </c>
    </row>
    <row r="494" spans="1:5" x14ac:dyDescent="0.3">
      <c r="A494" t="str">
        <f>TEXT(Table13[[#This Row],[Order_Date]],"mmm-yyyy")</f>
        <v>Jun-2024</v>
      </c>
      <c r="B494" s="6">
        <f>SUMIF(Orders!K:K,A494,Orders!E:E)</f>
        <v>28904.2945</v>
      </c>
      <c r="C494" s="6">
        <f t="shared" si="23"/>
        <v>54243.0265</v>
      </c>
      <c r="D494" s="6">
        <f t="shared" si="21"/>
        <v>-25338.732</v>
      </c>
      <c r="E494" s="6">
        <f t="shared" si="22"/>
        <v>-46.713344802027223</v>
      </c>
    </row>
    <row r="495" spans="1:5" x14ac:dyDescent="0.3">
      <c r="A495" t="str">
        <f>TEXT(Table13[[#This Row],[Order_Date]],"mmm-yyyy")</f>
        <v>Oct-2024</v>
      </c>
      <c r="B495" s="6">
        <f>SUMIF(Orders!K:K,A495,Orders!E:E)</f>
        <v>78501.203500000003</v>
      </c>
      <c r="C495" s="6">
        <f t="shared" si="23"/>
        <v>28904.2945</v>
      </c>
      <c r="D495" s="6">
        <f t="shared" si="21"/>
        <v>49596.909</v>
      </c>
      <c r="E495" s="6">
        <f t="shared" si="22"/>
        <v>171.59010402416152</v>
      </c>
    </row>
    <row r="496" spans="1:5" x14ac:dyDescent="0.3">
      <c r="A496" t="str">
        <f>TEXT(Table13[[#This Row],[Order_Date]],"mmm-yyyy")</f>
        <v>Jan-2025</v>
      </c>
      <c r="B496" s="6">
        <f>SUMIF(Orders!K:K,A496,Orders!E:E)</f>
        <v>34546.360500000003</v>
      </c>
      <c r="C496" s="6">
        <f t="shared" si="23"/>
        <v>78501.203500000003</v>
      </c>
      <c r="D496" s="6">
        <f t="shared" si="21"/>
        <v>-43954.843000000001</v>
      </c>
      <c r="E496" s="6">
        <f t="shared" si="22"/>
        <v>-55.992572139355801</v>
      </c>
    </row>
    <row r="497" spans="1:5" x14ac:dyDescent="0.3">
      <c r="A497" t="str">
        <f>TEXT(Table13[[#This Row],[Order_Date]],"mmm-yyyy")</f>
        <v>Feb-2023</v>
      </c>
      <c r="B497" s="6">
        <f>SUMIF(Orders!K:K,A497,Orders!E:E)</f>
        <v>31599.2045</v>
      </c>
      <c r="C497" s="6">
        <f t="shared" si="23"/>
        <v>34546.360500000003</v>
      </c>
      <c r="D497" s="6">
        <f t="shared" si="21"/>
        <v>-2947.1560000000027</v>
      </c>
      <c r="E497" s="6">
        <f t="shared" si="22"/>
        <v>-8.5310173267021927</v>
      </c>
    </row>
    <row r="498" spans="1:5" x14ac:dyDescent="0.3">
      <c r="A498" t="str">
        <f>TEXT(Table13[[#This Row],[Order_Date]],"mmm-yyyy")</f>
        <v>May-2023</v>
      </c>
      <c r="B498" s="6">
        <f>SUMIF(Orders!K:K,A498,Orders!E:E)</f>
        <v>73563.426500000001</v>
      </c>
      <c r="C498" s="6">
        <f t="shared" si="23"/>
        <v>31599.2045</v>
      </c>
      <c r="D498" s="6">
        <f t="shared" si="21"/>
        <v>41964.222000000002</v>
      </c>
      <c r="E498" s="6">
        <f t="shared" si="22"/>
        <v>132.80151403811448</v>
      </c>
    </row>
    <row r="499" spans="1:5" x14ac:dyDescent="0.3">
      <c r="A499" t="str">
        <f>TEXT(Table13[[#This Row],[Order_Date]],"mmm-yyyy")</f>
        <v>Jun-2023</v>
      </c>
      <c r="B499" s="6">
        <f>SUMIF(Orders!K:K,A499,Orders!E:E)</f>
        <v>62271.799000000006</v>
      </c>
      <c r="C499" s="6">
        <f t="shared" si="23"/>
        <v>73563.426500000001</v>
      </c>
      <c r="D499" s="6">
        <f t="shared" si="21"/>
        <v>-11291.627499999995</v>
      </c>
      <c r="E499" s="6">
        <f t="shared" si="22"/>
        <v>-15.349512709280875</v>
      </c>
    </row>
    <row r="500" spans="1:5" x14ac:dyDescent="0.3">
      <c r="A500" t="str">
        <f>TEXT(Table13[[#This Row],[Order_Date]],"mmm-yyyy")</f>
        <v>Jul-2024</v>
      </c>
      <c r="B500" s="6">
        <f>SUMIF(Orders!K:K,A500,Orders!E:E)</f>
        <v>46499.452500000007</v>
      </c>
      <c r="C500" s="6">
        <f t="shared" si="23"/>
        <v>62271.799000000006</v>
      </c>
      <c r="D500" s="6">
        <f t="shared" si="21"/>
        <v>-15772.3465</v>
      </c>
      <c r="E500" s="6">
        <f t="shared" si="22"/>
        <v>-25.328233250495941</v>
      </c>
    </row>
    <row r="501" spans="1:5" x14ac:dyDescent="0.3">
      <c r="A501" t="str">
        <f>TEXT(Table13[[#This Row],[Order_Date]],"mmm-yyyy")</f>
        <v>Jun-2024</v>
      </c>
      <c r="B501" s="6">
        <f>SUMIF(Orders!K:K,A501,Orders!E:E)</f>
        <v>28904.2945</v>
      </c>
      <c r="C501" s="6">
        <f t="shared" si="23"/>
        <v>46499.452500000007</v>
      </c>
      <c r="D501" s="6">
        <f t="shared" si="21"/>
        <v>-17595.158000000007</v>
      </c>
      <c r="E501" s="6">
        <f t="shared" si="22"/>
        <v>-37.839494991903408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2F97-C6B9-4788-AA5F-E1F0BA5171C7}">
  <dimension ref="A1:D6"/>
  <sheetViews>
    <sheetView workbookViewId="0">
      <selection activeCell="G8" sqref="G8"/>
    </sheetView>
  </sheetViews>
  <sheetFormatPr defaultRowHeight="14.4" x14ac:dyDescent="0.3"/>
  <cols>
    <col min="1" max="1" width="12.88671875" bestFit="1" customWidth="1"/>
    <col min="4" max="4" width="14" customWidth="1"/>
  </cols>
  <sheetData>
    <row r="1" spans="1:4" x14ac:dyDescent="0.3">
      <c r="A1" t="s">
        <v>2</v>
      </c>
      <c r="B1" t="s">
        <v>1501</v>
      </c>
      <c r="C1" t="s">
        <v>1499</v>
      </c>
      <c r="D1" s="7" t="s">
        <v>1512</v>
      </c>
    </row>
    <row r="2" spans="1:4" x14ac:dyDescent="0.3">
      <c r="A2" t="s">
        <v>17</v>
      </c>
      <c r="B2">
        <f>SUMIF(Orders!I:I,A2,Orders!E:E)</f>
        <v>329071.06050000008</v>
      </c>
      <c r="C2">
        <f>SUMIF(Orders!I:I,A2,Orders!G:G)</f>
        <v>296</v>
      </c>
      <c r="D2" s="7">
        <f>IF(B2=0,0,C2/B2)</f>
        <v>8.9950176581996921E-4</v>
      </c>
    </row>
    <row r="3" spans="1:4" x14ac:dyDescent="0.3">
      <c r="A3" t="s">
        <v>6</v>
      </c>
      <c r="B3">
        <f>SUMIF(Orders!I:I,A3,Orders!E:E)</f>
        <v>280117.52400000009</v>
      </c>
      <c r="C3">
        <f>SUMIF(Orders!I:I,A3,Orders!G:G)</f>
        <v>4928</v>
      </c>
      <c r="D3" s="7">
        <f t="shared" ref="D3:D6" si="0">IF(B3=0,0,C3/B3)</f>
        <v>1.7592615876470472E-2</v>
      </c>
    </row>
    <row r="4" spans="1:4" x14ac:dyDescent="0.3">
      <c r="A4" t="s">
        <v>31</v>
      </c>
      <c r="B4">
        <f>SUMIF(Orders!I:I,A4,Orders!E:E)</f>
        <v>331050.63449999993</v>
      </c>
      <c r="C4">
        <f>SUMIF(Orders!I:I,A4,Orders!G:G)</f>
        <v>158</v>
      </c>
      <c r="D4" s="7">
        <f t="shared" si="0"/>
        <v>4.7726837992210537E-4</v>
      </c>
    </row>
    <row r="5" spans="1:4" x14ac:dyDescent="0.3">
      <c r="A5" t="s">
        <v>14</v>
      </c>
      <c r="B5">
        <f>SUMIF(Orders!I:I,A5,Orders!E:E)</f>
        <v>423725.88199999998</v>
      </c>
      <c r="C5">
        <f>SUMIF(Orders!I:I,A5,Orders!G:G)</f>
        <v>5181</v>
      </c>
      <c r="D5" s="7">
        <f t="shared" si="0"/>
        <v>1.222724459394718E-2</v>
      </c>
    </row>
    <row r="6" spans="1:4" x14ac:dyDescent="0.3">
      <c r="A6" t="s">
        <v>10</v>
      </c>
      <c r="B6">
        <f>SUMIF(Orders!I:I,A6,Orders!E:E)</f>
        <v>303377.34250000003</v>
      </c>
      <c r="C6">
        <f>SUMIF(Orders!I:I,A6,Orders!G:G)</f>
        <v>7953</v>
      </c>
      <c r="D6" s="7">
        <f t="shared" si="0"/>
        <v>2.6214877928795881E-2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6BF8-1D77-40F7-9EFE-DFCB9C2755EA}">
  <dimension ref="A1:D4"/>
  <sheetViews>
    <sheetView workbookViewId="0">
      <selection activeCell="D3" sqref="D3"/>
    </sheetView>
  </sheetViews>
  <sheetFormatPr defaultRowHeight="14.4" x14ac:dyDescent="0.3"/>
  <cols>
    <col min="1" max="1" width="18.109375" customWidth="1"/>
    <col min="2" max="2" width="14.44140625" customWidth="1"/>
    <col min="3" max="3" width="15.33203125" customWidth="1"/>
    <col min="4" max="4" width="13.109375" bestFit="1" customWidth="1"/>
  </cols>
  <sheetData>
    <row r="1" spans="1:4" x14ac:dyDescent="0.3">
      <c r="A1" t="s">
        <v>1502</v>
      </c>
      <c r="B1" t="s">
        <v>1506</v>
      </c>
      <c r="C1" t="s">
        <v>1507</v>
      </c>
      <c r="D1" t="s">
        <v>1511</v>
      </c>
    </row>
    <row r="2" spans="1:4" x14ac:dyDescent="0.3">
      <c r="A2" t="s">
        <v>995</v>
      </c>
      <c r="B2">
        <f>SUMIF(Orders!D:D,A2,'Monthly Sales Performance'!B:B)</f>
        <v>15458994.917500023</v>
      </c>
      <c r="C2">
        <f>SUMIF(Orders!D:D,A2,Orders!E:E)</f>
        <v>969148.53549999977</v>
      </c>
      <c r="D2" s="8" t="e">
        <f>INDEX(Table3[#All],MATCH(A2,Table13[#All],0))</f>
        <v>#N/A</v>
      </c>
    </row>
    <row r="3" spans="1:4" x14ac:dyDescent="0.3">
      <c r="A3" t="s">
        <v>997</v>
      </c>
      <c r="B3">
        <f>SUMIF(Orders!D:D,A3,'Monthly Sales Performance'!B:B)</f>
        <v>6906071.2979999958</v>
      </c>
      <c r="C3">
        <f>SUMIF(Orders!D:D,A3,Orders!E:E)</f>
        <v>395454.33200000005</v>
      </c>
      <c r="D3" s="8" t="e">
        <f>INDEX(Table3[#All],MATCH(A3,Table13[#All],0))</f>
        <v>#N/A</v>
      </c>
    </row>
    <row r="4" spans="1:4" x14ac:dyDescent="0.3">
      <c r="A4" t="s">
        <v>1000</v>
      </c>
      <c r="B4">
        <f>SUMIF(Orders!D:D,A4,'Monthly Sales Performance'!B:B)</f>
        <v>4636999.9419999989</v>
      </c>
      <c r="C4">
        <f>SUMIF(Orders!D:D,A4,Orders!E:E)</f>
        <v>302739.576</v>
      </c>
      <c r="D4" s="8" t="e">
        <f>INDEX(Table3[#All],MATCH(A4,Table13[#All],0))</f>
        <v>#N/A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95311-3592-4691-A5A4-E6A4A2CA1CC5}">
  <dimension ref="A1:C4"/>
  <sheetViews>
    <sheetView workbookViewId="0">
      <selection activeCell="H17" sqref="H17"/>
    </sheetView>
  </sheetViews>
  <sheetFormatPr defaultRowHeight="14.4" x14ac:dyDescent="0.3"/>
  <cols>
    <col min="1" max="1" width="11.33203125" bestFit="1" customWidth="1"/>
    <col min="2" max="2" width="12" bestFit="1" customWidth="1"/>
    <col min="3" max="3" width="21.88671875" customWidth="1"/>
  </cols>
  <sheetData>
    <row r="1" spans="1:3" x14ac:dyDescent="0.3">
      <c r="A1" t="s">
        <v>3</v>
      </c>
      <c r="B1" t="s">
        <v>1514</v>
      </c>
      <c r="C1" t="s">
        <v>1513</v>
      </c>
    </row>
    <row r="2" spans="1:3" x14ac:dyDescent="0.3">
      <c r="A2" t="s">
        <v>11</v>
      </c>
      <c r="B2" s="9">
        <f>SUMIF(Table13[Segment],A2,Table13[Sales])</f>
        <v>586906.68350000016</v>
      </c>
      <c r="C2" s="7">
        <f>B2/SUM(B2:B4)</f>
        <v>0.35200128551156862</v>
      </c>
    </row>
    <row r="3" spans="1:3" x14ac:dyDescent="0.3">
      <c r="A3" t="s">
        <v>28</v>
      </c>
      <c r="B3" s="9">
        <f>SUMIF(Table13[Segment],A3,Table13[Sales])</f>
        <v>524863.58000000007</v>
      </c>
      <c r="C3" s="7">
        <f t="shared" ref="C3:C4" si="0">B3/SUM(B3:B5)</f>
        <v>0.48578878951581533</v>
      </c>
    </row>
    <row r="4" spans="1:3" x14ac:dyDescent="0.3">
      <c r="A4" t="s">
        <v>7</v>
      </c>
      <c r="B4" s="9">
        <f>SUMIF(Table13[Segment],A4,Table13[Sales])</f>
        <v>555572.18000000017</v>
      </c>
      <c r="C4" s="7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FABFE-1D03-4CC2-A7A8-A7E133409C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Orders</vt:lpstr>
      <vt:lpstr>Monthly Sales Performance</vt:lpstr>
      <vt:lpstr>Region vs Profit Margin</vt:lpstr>
      <vt:lpstr>Category vs Growth%</vt:lpstr>
      <vt:lpstr>Segment vs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N</dc:creator>
  <cp:lastModifiedBy>Suvarna N</cp:lastModifiedBy>
  <dcterms:created xsi:type="dcterms:W3CDTF">2026-08-14T16:21:28Z</dcterms:created>
  <dcterms:modified xsi:type="dcterms:W3CDTF">2026-08-30T16:34:53Z</dcterms:modified>
</cp:coreProperties>
</file>